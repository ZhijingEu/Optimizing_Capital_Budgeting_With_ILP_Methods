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xr:revisionPtr revIDLastSave="0" documentId="13_ncr:1_{6F6844EA-6739-4BE7-A20E-8DC339636525}" xr6:coauthVersionLast="45" xr6:coauthVersionMax="45" xr10:uidLastSave="{00000000-0000-0000-0000-000000000000}"/>
  <bookViews>
    <workbookView xWindow="-120" yWindow="-120" windowWidth="24240" windowHeight="13140" tabRatio="794" xr2:uid="{00000000-000D-0000-FFFF-FFFF00000000}"/>
  </bookViews>
  <sheets>
    <sheet name="Summary" sheetId="12" r:id="rId1"/>
    <sheet name="Scenario_01" sheetId="7" r:id="rId2"/>
    <sheet name="Scenario_02" sheetId="8" r:id="rId3"/>
    <sheet name="Scenario_03" sheetId="11" r:id="rId4"/>
    <sheet name="Scenario_04" sheetId="2" r:id="rId5"/>
    <sheet name="Scenario_04_AsTabularList" sheetId="3" r:id="rId6"/>
    <sheet name="Scenario_05_Stochastic" sheetId="5" r:id="rId7"/>
    <sheet name="IterationOutputs" sheetId="9" r:id="rId8"/>
    <sheet name="Pivot" sheetId="10" r:id="rId9"/>
    <sheet name="Scenario_06a_Stochastic w FL_AS" sheetId="13" r:id="rId10"/>
    <sheet name="Simulation Report Sc6a" sheetId="16" r:id="rId11"/>
    <sheet name="Scenario_06b_Stochastic w FL AS" sheetId="14" r:id="rId12"/>
  </sheets>
  <externalReferences>
    <externalReference r:id="rId13"/>
  </externalReferences>
  <definedNames>
    <definedName name="CAPEXYr1">Scenario_03!$I$3:$I$13</definedName>
    <definedName name="CAPEXYr1.badindex" hidden="1">1</definedName>
    <definedName name="CAPEXYr1.rowindex" hidden="1">projects</definedName>
    <definedName name="CAPEXYr1.rowindex.dirn" hidden="1">"row"</definedName>
    <definedName name="CAPEXYr2">Scenario_03!$J$3:$J$13</definedName>
    <definedName name="CAPEXYr2.badindex" hidden="1">1</definedName>
    <definedName name="CAPEXYr2.rowindex" hidden="1">projects</definedName>
    <definedName name="CAPEXYr2.rowindex.dirn" hidden="1">"row"</definedName>
    <definedName name="CAPEXYr3">Scenario_03!$K$3:$K$13</definedName>
    <definedName name="CAPEXYr3.badindex" hidden="1">1</definedName>
    <definedName name="CAPEXYr3.rowindex" hidden="1">projects</definedName>
    <definedName name="CAPEXYr3.rowindex.dirn" hidden="1">"row"</definedName>
    <definedName name="coin_cuttype" localSheetId="9" hidden="1">1</definedName>
    <definedName name="coin_cuttype" localSheetId="11" hidden="1">1</definedName>
    <definedName name="coin_dualtol" localSheetId="9" hidden="1">0.0000001</definedName>
    <definedName name="coin_dualtol" localSheetId="11" hidden="1">0.0000001</definedName>
    <definedName name="coin_heurs" localSheetId="9" hidden="1">1</definedName>
    <definedName name="coin_heurs" localSheetId="11" hidden="1">1</definedName>
    <definedName name="coin_integerpresolve" localSheetId="9" hidden="1">1</definedName>
    <definedName name="coin_integerpresolve" localSheetId="11" hidden="1">1</definedName>
    <definedName name="coin_presolve1" localSheetId="9" hidden="1">1</definedName>
    <definedName name="coin_presolve1" localSheetId="11" hidden="1">1</definedName>
    <definedName name="coin_primaltol" localSheetId="9" hidden="1">0.0000001</definedName>
    <definedName name="coin_primaltol" localSheetId="11" hidden="1">0.0000001</definedName>
    <definedName name="coin_thread_mode" localSheetId="9" hidden="1">0</definedName>
    <definedName name="coin_thread_mode" localSheetId="11" hidden="1">0</definedName>
    <definedName name="coin_threads" localSheetId="9" hidden="1">4</definedName>
    <definedName name="coin_threads" localSheetId="11" hidden="1">4</definedName>
    <definedName name="NPV">Scenario_03!$H$3:$H$13</definedName>
    <definedName name="NPV.badindex" hidden="1">1</definedName>
    <definedName name="NPV.rowindex" hidden="1">projects</definedName>
    <definedName name="NPV.rowindex.dirn" hidden="1">"row"</definedName>
    <definedName name="OpenSolver_ChosenSolver" localSheetId="1" hidden="1">CBC</definedName>
    <definedName name="OpenSolver_ChosenSolver" localSheetId="2" hidden="1">Bonmin</definedName>
    <definedName name="OpenSolver_ChosenSolver" localSheetId="3" hidden="1">CBC</definedName>
    <definedName name="OpenSolver_ChosenSolver" localSheetId="4" hidden="1">Bonmin</definedName>
    <definedName name="OpenSolver_ChosenSolver" localSheetId="5" hidden="1">CBC</definedName>
    <definedName name="OpenSolver_ChosenSolver" localSheetId="6" hidden="1">Bonmin</definedName>
    <definedName name="OpenSolver_ChosenSolver" localSheetId="9" hidden="1">Bonmin</definedName>
    <definedName name="OpenSolver_ChosenSolver" localSheetId="11" hidden="1">Bonmin</definedName>
    <definedName name="OpenSolver_ChosenSolver" localSheetId="0" hidden="1">CBC</definedName>
    <definedName name="OpenSolver_DualsNewSheet" localSheetId="1" hidden="1">0</definedName>
    <definedName name="OpenSolver_DualsNewSheet" localSheetId="2" hidden="1">0</definedName>
    <definedName name="OpenSolver_DualsNewSheet" localSheetId="3" hidden="1">0</definedName>
    <definedName name="OpenSolver_DualsNewSheet" localSheetId="4" hidden="1">0</definedName>
    <definedName name="OpenSolver_DualsNewSheet" localSheetId="5" hidden="1">0</definedName>
    <definedName name="OpenSolver_DualsNewSheet" localSheetId="6" hidden="1">0</definedName>
    <definedName name="OpenSolver_DualsNewSheet" localSheetId="9" hidden="1">0</definedName>
    <definedName name="OpenSolver_DualsNewSheet" localSheetId="11" hidden="1">0</definedName>
    <definedName name="OpenSolver_LinearityCheck" localSheetId="1" hidden="1">1</definedName>
    <definedName name="OpenSolver_LinearityCheck" localSheetId="2" hidden="1">1</definedName>
    <definedName name="OpenSolver_LinearityCheck" localSheetId="3" hidden="1">1</definedName>
    <definedName name="OpenSolver_LinearityCheck" localSheetId="4" hidden="1">1</definedName>
    <definedName name="OpenSolver_LinearityCheck" localSheetId="5" hidden="1">1</definedName>
    <definedName name="OpenSolver_LinearityCheck" localSheetId="6" hidden="1">1</definedName>
    <definedName name="OpenSolver_LinearityCheck" localSheetId="9" hidden="1">1</definedName>
    <definedName name="OpenSolver_LinearityCheck" localSheetId="11" hidden="1">1</definedName>
    <definedName name="OpenSolver_LinearityCheck" localSheetId="0" hidden="1">1</definedName>
    <definedName name="OpenSolver_UpdateSensitivity" localSheetId="1" hidden="1">1</definedName>
    <definedName name="OpenSolver_UpdateSensitivity" localSheetId="2" hidden="1">1</definedName>
    <definedName name="OpenSolver_UpdateSensitivity" localSheetId="3" hidden="1">1</definedName>
    <definedName name="OpenSolver_UpdateSensitivity" localSheetId="4" hidden="1">1</definedName>
    <definedName name="OpenSolver_UpdateSensitivity" localSheetId="6" hidden="1">1</definedName>
    <definedName name="OpenSolver_UpdateSensitivity" localSheetId="9" hidden="1">1</definedName>
    <definedName name="OpenSolver_UpdateSensitivity" localSheetId="11" hidden="1">1</definedName>
    <definedName name="output">Scenario_03!$L$3:$L$13</definedName>
    <definedName name="output.badindex" hidden="1">1</definedName>
    <definedName name="output.rowindex" hidden="1">projects</definedName>
    <definedName name="output.rowindex.dirn" hidden="1">"row"</definedName>
    <definedName name="projects">Scenario_03!$B$3:$B$13</definedName>
    <definedName name="solver_adj" localSheetId="1" hidden="1">Scenario_01!$I$3:$I$12</definedName>
    <definedName name="solver_adj" localSheetId="2" hidden="1">Scenario_02!$L$3:$L$12</definedName>
    <definedName name="solver_adj" localSheetId="3" hidden="1">Scenario_03!$L$3:$L$13</definedName>
    <definedName name="solver_adj" localSheetId="4" hidden="1">Scenario_04!$E$3:$H$12</definedName>
    <definedName name="solver_adj" localSheetId="5" hidden="1">Scenario_04_AsTabularList!$F$3:$F$42</definedName>
    <definedName name="solver_adj" localSheetId="6" hidden="1">Scenario_05_Stochastic!$E$20:$H$29</definedName>
    <definedName name="solver_adj" localSheetId="9" hidden="1">'Scenario_06a_Stochastic w FL_AS'!$E$3:$H$12</definedName>
    <definedName name="solver_adj" localSheetId="11" hidden="1">'Scenario_06b_Stochastic w FL AS'!$E$3:$E$12</definedName>
    <definedName name="solver_adj_ob" localSheetId="9" hidden="1">1</definedName>
    <definedName name="solver_adj_ob" localSheetId="11" hidden="1">1</definedName>
    <definedName name="solver_adj_ob1" localSheetId="9" hidden="1">1</definedName>
    <definedName name="solver_adj_ob1" localSheetId="11" hidden="1">1</definedName>
    <definedName name="solver_adj_ob2" localSheetId="11" hidden="1">1</definedName>
    <definedName name="solver_adj1" localSheetId="11" hidden="1">'Scenario_06b_Stochastic w FL AS'!$F$3:$H$12</definedName>
    <definedName name="solver_adj2" localSheetId="11" hidden="1">'Scenario_06b_Stochastic w FL AS'!$F$3:$H$12</definedName>
    <definedName name="solver_cha" localSheetId="9" hidden="1">0</definedName>
    <definedName name="solver_cha" localSheetId="11" hidden="1">0</definedName>
    <definedName name="solver_chc1" localSheetId="9" hidden="1">0</definedName>
    <definedName name="solver_chc1" localSheetId="11" hidden="1">0</definedName>
    <definedName name="solver_chc10" localSheetId="9" hidden="1">0</definedName>
    <definedName name="solver_chc10" localSheetId="11" hidden="1">0</definedName>
    <definedName name="solver_chc11" localSheetId="11" hidden="1">0</definedName>
    <definedName name="solver_chc12" localSheetId="11" hidden="1">0</definedName>
    <definedName name="solver_chc13" localSheetId="11" hidden="1">0</definedName>
    <definedName name="solver_chc14" localSheetId="11" hidden="1">2</definedName>
    <definedName name="solver_chc15" localSheetId="11" hidden="1">0</definedName>
    <definedName name="solver_chc16" localSheetId="11" hidden="1">0</definedName>
    <definedName name="solver_chc17" localSheetId="11" hidden="1">0</definedName>
    <definedName name="solver_chc18" localSheetId="11" hidden="1">0</definedName>
    <definedName name="solver_chc2" localSheetId="9" hidden="1">0</definedName>
    <definedName name="solver_chc2" localSheetId="11" hidden="1">0</definedName>
    <definedName name="solver_chc3" localSheetId="9" hidden="1">0</definedName>
    <definedName name="solver_chc3" localSheetId="11" hidden="1">0</definedName>
    <definedName name="solver_chc4" localSheetId="9" hidden="1">0</definedName>
    <definedName name="solver_chc4" localSheetId="11" hidden="1">0</definedName>
    <definedName name="solver_chc5" localSheetId="9" hidden="1">0</definedName>
    <definedName name="solver_chc5" localSheetId="11" hidden="1">0</definedName>
    <definedName name="solver_chc6" localSheetId="9" hidden="1">0</definedName>
    <definedName name="solver_chc6" localSheetId="11" hidden="1">0</definedName>
    <definedName name="solver_chc7" localSheetId="9" hidden="1">0</definedName>
    <definedName name="solver_chc7" localSheetId="11" hidden="1">0</definedName>
    <definedName name="solver_chc8" localSheetId="9" hidden="1">0</definedName>
    <definedName name="solver_chc8" localSheetId="11" hidden="1">0</definedName>
    <definedName name="solver_chc9" localSheetId="9" hidden="1">0</definedName>
    <definedName name="solver_chc9" localSheetId="11" hidden="1">0</definedName>
    <definedName name="solver_chn" localSheetId="9" hidden="1">4</definedName>
    <definedName name="solver_chn" localSheetId="11" hidden="1">4</definedName>
    <definedName name="solver_chp1" localSheetId="9" hidden="1">0</definedName>
    <definedName name="solver_chp1" localSheetId="11" hidden="1">0</definedName>
    <definedName name="solver_chp10" localSheetId="9" hidden="1">0</definedName>
    <definedName name="solver_chp10" localSheetId="11" hidden="1">0</definedName>
    <definedName name="solver_chp11" localSheetId="11" hidden="1">0</definedName>
    <definedName name="solver_chp12" localSheetId="11" hidden="1">0</definedName>
    <definedName name="solver_chp13" localSheetId="11" hidden="1">0</definedName>
    <definedName name="solver_chp14" localSheetId="11" hidden="1">0.95</definedName>
    <definedName name="solver_chp15" localSheetId="11" hidden="1">0</definedName>
    <definedName name="solver_chp16" localSheetId="11" hidden="1">0</definedName>
    <definedName name="solver_chp17" localSheetId="11" hidden="1">0</definedName>
    <definedName name="solver_chp18" localSheetId="11" hidden="1">0</definedName>
    <definedName name="solver_chp2" localSheetId="9" hidden="1">0</definedName>
    <definedName name="solver_chp2" localSheetId="11" hidden="1">0</definedName>
    <definedName name="solver_chp3" localSheetId="9" hidden="1">0</definedName>
    <definedName name="solver_chp3" localSheetId="11" hidden="1">0</definedName>
    <definedName name="solver_chp4" localSheetId="9" hidden="1">0</definedName>
    <definedName name="solver_chp4" localSheetId="11" hidden="1">0</definedName>
    <definedName name="solver_chp5" localSheetId="9" hidden="1">0</definedName>
    <definedName name="solver_chp5" localSheetId="11" hidden="1">0</definedName>
    <definedName name="solver_chp6" localSheetId="9" hidden="1">0</definedName>
    <definedName name="solver_chp6" localSheetId="11" hidden="1">0</definedName>
    <definedName name="solver_chp7" localSheetId="9" hidden="1">0</definedName>
    <definedName name="solver_chp7" localSheetId="11" hidden="1">0</definedName>
    <definedName name="solver_chp8" localSheetId="9" hidden="1">0</definedName>
    <definedName name="solver_chp8" localSheetId="11" hidden="1">0</definedName>
    <definedName name="solver_chp9" localSheetId="9" hidden="1">0</definedName>
    <definedName name="solver_chp9" localSheetId="11" hidden="1">0</definedName>
    <definedName name="solver_cht" localSheetId="9" hidden="1">0</definedName>
    <definedName name="solver_cht" localSheetId="11" hidden="1">0</definedName>
    <definedName name="solver_cir1" localSheetId="9" hidden="1">1</definedName>
    <definedName name="solver_cir1" localSheetId="11" hidden="1">1</definedName>
    <definedName name="solver_cir10" localSheetId="9" hidden="1">1</definedName>
    <definedName name="solver_cir10" localSheetId="11" hidden="1">1</definedName>
    <definedName name="solver_cir11" localSheetId="11" hidden="1">1</definedName>
    <definedName name="solver_cir12" localSheetId="11" hidden="1">1</definedName>
    <definedName name="solver_cir13" localSheetId="11" hidden="1">1</definedName>
    <definedName name="solver_cir14" localSheetId="11" hidden="1">1</definedName>
    <definedName name="solver_cir15" localSheetId="11" hidden="1">1</definedName>
    <definedName name="solver_cir16" localSheetId="11" hidden="1">1</definedName>
    <definedName name="solver_cir17" localSheetId="11" hidden="1">1</definedName>
    <definedName name="solver_cir18" localSheetId="11" hidden="1">1</definedName>
    <definedName name="solver_cir2" localSheetId="9" hidden="1">1</definedName>
    <definedName name="solver_cir2" localSheetId="11" hidden="1">1</definedName>
    <definedName name="solver_cir3" localSheetId="9" hidden="1">1</definedName>
    <definedName name="solver_cir3" localSheetId="11" hidden="1">1</definedName>
    <definedName name="solver_cir4" localSheetId="9" hidden="1">1</definedName>
    <definedName name="solver_cir4" localSheetId="11" hidden="1">1</definedName>
    <definedName name="solver_cir5" localSheetId="9" hidden="1">1</definedName>
    <definedName name="solver_cir5" localSheetId="11" hidden="1">1</definedName>
    <definedName name="solver_cir6" localSheetId="9" hidden="1">1</definedName>
    <definedName name="solver_cir6" localSheetId="11" hidden="1">1</definedName>
    <definedName name="solver_cir7" localSheetId="9" hidden="1">1</definedName>
    <definedName name="solver_cir7" localSheetId="11" hidden="1">1</definedName>
    <definedName name="solver_cir8" localSheetId="9" hidden="1">1</definedName>
    <definedName name="solver_cir8" localSheetId="11" hidden="1">1</definedName>
    <definedName name="solver_cir9" localSheetId="9" hidden="1">1</definedName>
    <definedName name="solver_cir9" localSheetId="11" hidden="1">1</definedName>
    <definedName name="solver_con" localSheetId="9" hidden="1">" "</definedName>
    <definedName name="solver_con" localSheetId="11" hidden="1">" "</definedName>
    <definedName name="solver_con1" localSheetId="9" hidden="1">" "</definedName>
    <definedName name="solver_con1" localSheetId="11" hidden="1">" "</definedName>
    <definedName name="solver_con10" localSheetId="9" hidden="1">" "</definedName>
    <definedName name="solver_con10" localSheetId="11" hidden="1">" "</definedName>
    <definedName name="solver_con11" localSheetId="11" hidden="1">" "</definedName>
    <definedName name="solver_con12" localSheetId="11" hidden="1">" "</definedName>
    <definedName name="solver_con13" localSheetId="11" hidden="1">" "</definedName>
    <definedName name="solver_con14" localSheetId="11" hidden="1">" "</definedName>
    <definedName name="solver_con15" localSheetId="11" hidden="1">" "</definedName>
    <definedName name="solver_con16" localSheetId="11" hidden="1">" "</definedName>
    <definedName name="solver_con17" localSheetId="11" hidden="1">" "</definedName>
    <definedName name="solver_con18" localSheetId="11" hidden="1">" "</definedName>
    <definedName name="solver_con2" localSheetId="9" hidden="1">" "</definedName>
    <definedName name="solver_con2" localSheetId="11" hidden="1">" "</definedName>
    <definedName name="solver_con3" localSheetId="9" hidden="1">" "</definedName>
    <definedName name="solver_con3" localSheetId="11" hidden="1">" "</definedName>
    <definedName name="solver_con4" localSheetId="9" hidden="1">" "</definedName>
    <definedName name="solver_con4" localSheetId="11" hidden="1">" "</definedName>
    <definedName name="solver_con5" localSheetId="9" hidden="1">" "</definedName>
    <definedName name="solver_con5" localSheetId="11" hidden="1">"Proj 4 and 8 Must Happen In the SAME YEAR"</definedName>
    <definedName name="solver_con6" localSheetId="9" hidden="1">" "</definedName>
    <definedName name="solver_con6" localSheetId="11" hidden="1">" "</definedName>
    <definedName name="solver_con7" localSheetId="9" hidden="1">" "</definedName>
    <definedName name="solver_con7" localSheetId="11" hidden="1">" "</definedName>
    <definedName name="solver_con8" localSheetId="9" hidden="1">" "</definedName>
    <definedName name="solver_con8" localSheetId="11" hidden="1">" "</definedName>
    <definedName name="solver_con9" localSheetId="9" hidden="1">" "</definedName>
    <definedName name="solver_con9" localSheetId="11" hidden="1">" "</definedName>
    <definedName name="solver_corr" hidden="1">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9" hidden="1">0.0001</definedName>
    <definedName name="solver_cvg" localSheetId="11" hidden="1">0.0001</definedName>
    <definedName name="solver_cvg" localSheetId="0" hidden="1">0.0001</definedName>
    <definedName name="solver_dia" localSheetId="9" hidden="1">5</definedName>
    <definedName name="solver_dia" localSheetId="11" hidden="1">5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drv" localSheetId="4" hidden="1">1</definedName>
    <definedName name="solver_drv" localSheetId="5" hidden="1">2</definedName>
    <definedName name="solver_drv" localSheetId="6" hidden="1">1</definedName>
    <definedName name="solver_drv" localSheetId="9" hidden="1">1</definedName>
    <definedName name="solver_drv" localSheetId="11" hidden="1">1</definedName>
    <definedName name="solver_drv" localSheetId="0" hidden="1">1</definedName>
    <definedName name="solver_eng" localSheetId="1" hidden="1">2</definedName>
    <definedName name="solver_eng" localSheetId="2" hidden="1">2</definedName>
    <definedName name="solver_eng" localSheetId="3" hidden="1">2</definedName>
    <definedName name="solver_eng" localSheetId="4" hidden="1">2</definedName>
    <definedName name="solver_eng" localSheetId="5" hidden="1">2</definedName>
    <definedName name="solver_eng" localSheetId="6" hidden="1">2</definedName>
    <definedName name="solver_eng" localSheetId="9" hidden="1">2</definedName>
    <definedName name="solver_eng" localSheetId="11" hidden="1">0</definedName>
    <definedName name="solver_eng" localSheetId="0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9" hidden="1">1</definedName>
    <definedName name="solver_est" localSheetId="11" hidden="1">1</definedName>
    <definedName name="solver_est" localSheetId="0" hidden="1">1</definedName>
    <definedName name="solver_iao" localSheetId="9" hidden="1">0</definedName>
    <definedName name="solver_iao" localSheetId="11" hidden="1">0</definedName>
    <definedName name="solver_int" localSheetId="9" hidden="1">0</definedName>
    <definedName name="solver_int" localSheetId="11" hidden="1">0</definedName>
    <definedName name="solver_irs" localSheetId="9" hidden="1">0</definedName>
    <definedName name="solver_irs" localSheetId="11" hidden="1">0</definedName>
    <definedName name="solver_ism" localSheetId="9" hidden="1">0</definedName>
    <definedName name="solver_ism" localSheetId="11" hidden="1">0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itr" localSheetId="4" hidden="1">2147483647</definedName>
    <definedName name="solver_itr" localSheetId="5" hidden="1">2147483647</definedName>
    <definedName name="solver_itr" localSheetId="6" hidden="1">2147483647</definedName>
    <definedName name="solver_itr" localSheetId="9" hidden="1">2147483647</definedName>
    <definedName name="solver_itr" localSheetId="11" hidden="1">2147483647</definedName>
    <definedName name="solver_itr" localSheetId="0" hidden="1">2147483647</definedName>
    <definedName name="solver_kiv" localSheetId="9" hidden="1">2E+30</definedName>
    <definedName name="solver_kiv" localSheetId="11" hidden="1">2E+30</definedName>
    <definedName name="solver_lhs_ob1" localSheetId="9" hidden="1">0</definedName>
    <definedName name="solver_lhs_ob1" localSheetId="11" hidden="1">0</definedName>
    <definedName name="solver_lhs_ob10" localSheetId="9" hidden="1">0</definedName>
    <definedName name="solver_lhs_ob10" localSheetId="11" hidden="1">0</definedName>
    <definedName name="solver_lhs_ob11" localSheetId="11" hidden="1">0</definedName>
    <definedName name="solver_lhs_ob12" localSheetId="11" hidden="1">0</definedName>
    <definedName name="solver_lhs_ob13" localSheetId="11" hidden="1">0</definedName>
    <definedName name="solver_lhs_ob14" localSheetId="11" hidden="1">0</definedName>
    <definedName name="solver_lhs_ob15" localSheetId="11" hidden="1">0</definedName>
    <definedName name="solver_lhs_ob16" localSheetId="11" hidden="1">0</definedName>
    <definedName name="solver_lhs_ob17" localSheetId="11" hidden="1">0</definedName>
    <definedName name="solver_lhs_ob18" localSheetId="11" hidden="1">0</definedName>
    <definedName name="solver_lhs_ob2" localSheetId="9" hidden="1">0</definedName>
    <definedName name="solver_lhs_ob2" localSheetId="11" hidden="1">0</definedName>
    <definedName name="solver_lhs_ob3" localSheetId="9" hidden="1">0</definedName>
    <definedName name="solver_lhs_ob3" localSheetId="11" hidden="1">0</definedName>
    <definedName name="solver_lhs_ob4" localSheetId="9" hidden="1">0</definedName>
    <definedName name="solver_lhs_ob4" localSheetId="11" hidden="1">0</definedName>
    <definedName name="solver_lhs_ob5" localSheetId="9" hidden="1">0</definedName>
    <definedName name="solver_lhs_ob5" localSheetId="11" hidden="1">0</definedName>
    <definedName name="solver_lhs_ob6" localSheetId="9" hidden="1">0</definedName>
    <definedName name="solver_lhs_ob6" localSheetId="11" hidden="1">0</definedName>
    <definedName name="solver_lhs_ob7" localSheetId="9" hidden="1">0</definedName>
    <definedName name="solver_lhs_ob7" localSheetId="11" hidden="1">0</definedName>
    <definedName name="solver_lhs_ob8" localSheetId="9" hidden="1">0</definedName>
    <definedName name="solver_lhs_ob8" localSheetId="11" hidden="1">0</definedName>
    <definedName name="solver_lhs_ob9" localSheetId="9" hidden="1">0</definedName>
    <definedName name="solver_lhs_ob9" localSheetId="11" hidden="1">0</definedName>
    <definedName name="solver_lhs0" localSheetId="2" hidden="1">Scenario_02!$O$14</definedName>
    <definedName name="solver_lhs0" localSheetId="3" hidden="1">Scenario_03!$O$15</definedName>
    <definedName name="solver_lhs1" localSheetId="1" hidden="1">Scenario_01!$I$3:$I$12</definedName>
    <definedName name="solver_lhs1" localSheetId="2" hidden="1">Scenario_02!$L$3:$L$12</definedName>
    <definedName name="solver_lhs1" localSheetId="3" hidden="1">Scenario_03!$D$19</definedName>
    <definedName name="solver_lhs1" localSheetId="4" hidden="1">Scenario_04!$E$14</definedName>
    <definedName name="solver_lhs1" localSheetId="5" hidden="1">Scenario_04_AsTabularList!$E$60</definedName>
    <definedName name="solver_lhs1" localSheetId="6" hidden="1">Scenario_05_Stochastic!$E$20:$H$29</definedName>
    <definedName name="solver_lhs1" localSheetId="9" hidden="1">'Scenario_06a_Stochastic w FL_AS'!$E$3:$H$12</definedName>
    <definedName name="solver_lhs1" localSheetId="11" hidden="1">'Scenario_06b_Stochastic w FL AS'!$E$3:$H$12</definedName>
    <definedName name="solver_lhs10" localSheetId="9" hidden="1">'Scenario_06a_Stochastic w FL_AS'!$G$14</definedName>
    <definedName name="solver_lhs10" localSheetId="11" hidden="1">'Scenario_06b_Stochastic w FL AS'!$F$32</definedName>
    <definedName name="solver_lhs11" localSheetId="11" hidden="1">'Scenario_06b_Stochastic w FL AS'!$G$32</definedName>
    <definedName name="solver_lhs12" localSheetId="11" hidden="1">'Scenario_06b_Stochastic w FL AS'!$G$6</definedName>
    <definedName name="solver_lhs13" localSheetId="11" hidden="1">'Scenario_06b_Stochastic w FL AS'!$G$9</definedName>
    <definedName name="solver_lhs14" localSheetId="11" hidden="1">'Scenario_06b_Stochastic w FL AS'!$G$16</definedName>
    <definedName name="solver_lhs15" localSheetId="11" hidden="1">'Scenario_06b_Stochastic w FL AS'!$G$16</definedName>
    <definedName name="solver_lhs16" localSheetId="11" hidden="1">'Scenario_06b_Stochastic w FL AS'!$F$16</definedName>
    <definedName name="solver_lhs17" localSheetId="11" hidden="1">'Scenario_06b_Stochastic w FL AS'!$G$16</definedName>
    <definedName name="solver_lhs18" localSheetId="11" hidden="1">'Scenario_06b_Stochastic w FL AS'!$G$16</definedName>
    <definedName name="solver_lhs2" localSheetId="1" hidden="1">Scenario_01!$J$14</definedName>
    <definedName name="solver_lhs2" localSheetId="2" hidden="1">Scenario_02!$M$14</definedName>
    <definedName name="solver_lhs2" localSheetId="3" hidden="1">Scenario_03!$D$20</definedName>
    <definedName name="solver_lhs2" localSheetId="4" hidden="1">Scenario_04!$E$3:$H$12</definedName>
    <definedName name="solver_lhs2" localSheetId="5" hidden="1">Scenario_04_AsTabularList!$F$3:$F$42</definedName>
    <definedName name="solver_lhs2" localSheetId="6" hidden="1">Scenario_05_Stochastic!$E$31</definedName>
    <definedName name="solver_lhs2" localSheetId="9" hidden="1">'Scenario_06a_Stochastic w FL_AS'!$I$3:$I$12</definedName>
    <definedName name="solver_lhs2" localSheetId="11" hidden="1">'Scenario_06b_Stochastic w FL AS'!$I$3:$I$12</definedName>
    <definedName name="solver_lhs3" localSheetId="1" hidden="1">Scenario_01!#REF!</definedName>
    <definedName name="solver_lhs3" localSheetId="2" hidden="1">Scenario_02!$N$14</definedName>
    <definedName name="solver_lhs3" localSheetId="3" hidden="1">Scenario_03!$L$3:$L$13</definedName>
    <definedName name="solver_lhs3" localSheetId="4" hidden="1">Scenario_04!$F$14</definedName>
    <definedName name="solver_lhs3" localSheetId="5" hidden="1">Scenario_04_AsTabularList!$F$60</definedName>
    <definedName name="solver_lhs3" localSheetId="6" hidden="1">Scenario_05_Stochastic!$F$31</definedName>
    <definedName name="solver_lhs3" localSheetId="9" hidden="1">'Scenario_06a_Stochastic w FL_AS'!$E$16</definedName>
    <definedName name="solver_lhs3" localSheetId="11" hidden="1">'Scenario_06b_Stochastic w FL AS'!$E$9</definedName>
    <definedName name="solver_lhs4" localSheetId="1" hidden="1">Scenario_01!#REF!</definedName>
    <definedName name="solver_lhs4" localSheetId="2" hidden="1">Scenario_02!$O$14</definedName>
    <definedName name="solver_lhs4" localSheetId="3" hidden="1">Scenario_03!$L$6</definedName>
    <definedName name="solver_lhs4" localSheetId="4" hidden="1">Scenario_04!$G$14</definedName>
    <definedName name="solver_lhs4" localSheetId="5" hidden="1">Scenario_04_AsTabularList!$G$60</definedName>
    <definedName name="solver_lhs4" localSheetId="6" hidden="1">Scenario_05_Stochastic!$G$31</definedName>
    <definedName name="solver_lhs4" localSheetId="9" hidden="1">'Scenario_06a_Stochastic w FL_AS'!$F$16</definedName>
    <definedName name="solver_lhs4" localSheetId="11" hidden="1">'Scenario_06b_Stochastic w FL AS'!$F$9</definedName>
    <definedName name="solver_lhs5" localSheetId="1" hidden="1">Scenario_01!$I$3:$I$12</definedName>
    <definedName name="solver_lhs5" localSheetId="2" hidden="1">Scenario_02!$O$14</definedName>
    <definedName name="solver_lhs5" localSheetId="3" hidden="1">Scenario_03!$L$9</definedName>
    <definedName name="solver_lhs5" localSheetId="4" hidden="1">Scenario_04!$I$3:$I$12</definedName>
    <definedName name="solver_lhs5" localSheetId="5" hidden="1">Scenario_04_AsTabularList!$I$3:$I$12</definedName>
    <definedName name="solver_lhs5" localSheetId="6" hidden="1">Scenario_05_Stochastic!$I$20:$I$29</definedName>
    <definedName name="solver_lhs5" localSheetId="9" hidden="1">'Scenario_06a_Stochastic w FL_AS'!$G$16</definedName>
    <definedName name="solver_lhs5" localSheetId="11" hidden="1">'Scenario_06b_Stochastic w FL AS'!$E$6</definedName>
    <definedName name="solver_lhs6" localSheetId="3" hidden="1">Scenario_03!$M$15</definedName>
    <definedName name="solver_lhs6" localSheetId="9" hidden="1">'Scenario_06a_Stochastic w FL_AS'!$G$14</definedName>
    <definedName name="solver_lhs6" localSheetId="11" hidden="1">'Scenario_06b_Stochastic w FL AS'!$F$6</definedName>
    <definedName name="solver_lhs7" localSheetId="3" hidden="1">Scenario_03!$N$15</definedName>
    <definedName name="solver_lhs7" localSheetId="9" hidden="1">'Scenario_06a_Stochastic w FL_AS'!$G$14</definedName>
    <definedName name="solver_lhs7" localSheetId="11" hidden="1">'Scenario_06b_Stochastic w FL AS'!$H$6</definedName>
    <definedName name="solver_lhs8" localSheetId="3" hidden="1">Scenario_03!$O$15</definedName>
    <definedName name="solver_lhs8" localSheetId="9" hidden="1">'Scenario_06a_Stochastic w FL_AS'!$G$14</definedName>
    <definedName name="solver_lhs8" localSheetId="11" hidden="1">'Scenario_06b_Stochastic w FL AS'!$E$16</definedName>
    <definedName name="solver_lhs9" localSheetId="9" hidden="1">'Scenario_06a_Stochastic w FL_AS'!$G$14</definedName>
    <definedName name="solver_lhs9" localSheetId="11" hidden="1">'Scenario_06b_Stochastic w FL AS'!$E$32</definedName>
    <definedName name="solver_lin" localSheetId="9" hidden="1">1</definedName>
    <definedName name="solver_lin" localSheetId="11" hidden="1">2</definedName>
    <definedName name="solver_mda" localSheetId="9" hidden="1">4</definedName>
    <definedName name="solver_mda" localSheetId="11" hidden="1">4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ip" localSheetId="4" hidden="1">2147483647</definedName>
    <definedName name="solver_mip" localSheetId="5" hidden="1">2147483647</definedName>
    <definedName name="solver_mip" localSheetId="6" hidden="1">2147483647</definedName>
    <definedName name="solver_mip" localSheetId="9" hidden="1">2147483647</definedName>
    <definedName name="solver_mip" localSheetId="11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ni" localSheetId="4" hidden="1">30</definedName>
    <definedName name="solver_mni" localSheetId="5" hidden="1">30</definedName>
    <definedName name="solver_mni" localSheetId="6" hidden="1">30</definedName>
    <definedName name="solver_mni" localSheetId="9" hidden="1">30</definedName>
    <definedName name="solver_mni" localSheetId="11" hidden="1">30</definedName>
    <definedName name="solver_mod" localSheetId="9" hidden="1">3</definedName>
    <definedName name="solver_mod" localSheetId="11" hidden="1">3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rt" localSheetId="4" hidden="1">0.075</definedName>
    <definedName name="solver_mrt" localSheetId="5" hidden="1">0.075</definedName>
    <definedName name="solver_mrt" localSheetId="6" hidden="1">0.075</definedName>
    <definedName name="solver_mrt" localSheetId="9" hidden="1">0.075</definedName>
    <definedName name="solver_mrt" localSheetId="11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msl" localSheetId="4" hidden="1">2</definedName>
    <definedName name="solver_msl" localSheetId="5" hidden="1">2</definedName>
    <definedName name="solver_msl" localSheetId="6" hidden="1">2</definedName>
    <definedName name="solver_msl" localSheetId="9" hidden="1">2</definedName>
    <definedName name="solver_msl" localSheetId="11" hidden="1">2</definedName>
    <definedName name="solver_neg" localSheetId="1" hidden="1">1</definedName>
    <definedName name="solver_neg" localSheetId="2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9" hidden="1">1</definedName>
    <definedName name="solver_neg" localSheetId="11" hidden="1">1</definedName>
    <definedName name="solver_neg" localSheetId="0" hidden="1">1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od" localSheetId="4" hidden="1">2147483647</definedName>
    <definedName name="solver_nod" localSheetId="5" hidden="1">2147483647</definedName>
    <definedName name="solver_nod" localSheetId="6" hidden="1">2147483647</definedName>
    <definedName name="solver_nod" localSheetId="9" hidden="1">2147483647</definedName>
    <definedName name="solver_nod" localSheetId="11" hidden="1">2147483647</definedName>
    <definedName name="solver_ntr" localSheetId="9" hidden="1">0</definedName>
    <definedName name="solver_ntr" localSheetId="11" hidden="1">0</definedName>
    <definedName name="solver_ntri" hidden="1">1000</definedName>
    <definedName name="solver_num" localSheetId="1" hidden="1">2</definedName>
    <definedName name="solver_num" localSheetId="2" hidden="1">4</definedName>
    <definedName name="solver_num" localSheetId="3" hidden="1">8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9" hidden="1">5</definedName>
    <definedName name="solver_num" localSheetId="11" hidden="1">16</definedName>
    <definedName name="solver_num" localSheetId="0" hidden="1">0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9" hidden="1">1</definedName>
    <definedName name="solver_nwt" localSheetId="11" hidden="1">1</definedName>
    <definedName name="solver_nwt" localSheetId="0" hidden="1">1</definedName>
    <definedName name="solver_obc" localSheetId="9" hidden="1">1</definedName>
    <definedName name="solver_obc" localSheetId="11" hidden="1">1</definedName>
    <definedName name="solver_obp" localSheetId="9" hidden="1">0</definedName>
    <definedName name="solver_obp" localSheetId="11" hidden="1">0</definedName>
    <definedName name="solver_opt" localSheetId="1" hidden="1">Scenario_01!$K$14</definedName>
    <definedName name="solver_opt" localSheetId="2" hidden="1">Scenario_02!$P$14</definedName>
    <definedName name="solver_opt" localSheetId="3" hidden="1">Scenario_03!$P$15</definedName>
    <definedName name="solver_opt" localSheetId="4" hidden="1">Scenario_04!$O$14</definedName>
    <definedName name="solver_opt" localSheetId="5" hidden="1">Scenario_04_AsTabularList!$H$44</definedName>
    <definedName name="solver_opt" localSheetId="6" hidden="1">Scenario_05_Stochastic!$AD$31</definedName>
    <definedName name="solver_opt" localSheetId="9" hidden="1">'Scenario_06a_Stochastic w FL_AS'!$AD$16</definedName>
    <definedName name="solver_opt" localSheetId="11" hidden="1">'Scenario_06b_Stochastic w FL AS'!$AD$16</definedName>
    <definedName name="solver_opt" localSheetId="0" hidden="1">Summary!$C$4</definedName>
    <definedName name="solver_opt_ob" localSheetId="9" hidden="1">1</definedName>
    <definedName name="solver_opt_ob" localSheetId="11" hidden="1">1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9" hidden="1">0.000001</definedName>
    <definedName name="solver_pre" localSheetId="11" hidden="1">0.000001</definedName>
    <definedName name="solver_pre" localSheetId="0" hidden="1">0.000001</definedName>
    <definedName name="solver_psi" localSheetId="9" hidden="1">0</definedName>
    <definedName name="solver_psi" localSheetId="11" hidden="1">0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bv" localSheetId="4" hidden="1">1</definedName>
    <definedName name="solver_rbv" localSheetId="5" hidden="1">2</definedName>
    <definedName name="solver_rbv" localSheetId="6" hidden="1">1</definedName>
    <definedName name="solver_rbv" localSheetId="9" hidden="1">1</definedName>
    <definedName name="solver_rbv" localSheetId="11" hidden="1">1</definedName>
    <definedName name="solver_rdp" localSheetId="9" hidden="1">0</definedName>
    <definedName name="solver_rdp" localSheetId="11" hidden="1">0</definedName>
    <definedName name="solver_reco1" localSheetId="9" hidden="1">0</definedName>
    <definedName name="solver_reco1" localSheetId="11" hidden="1">0</definedName>
    <definedName name="solver_reco10" localSheetId="9" hidden="1">0</definedName>
    <definedName name="solver_reco10" localSheetId="11" hidden="1">0</definedName>
    <definedName name="solver_reco11" localSheetId="11" hidden="1">0</definedName>
    <definedName name="solver_reco12" localSheetId="11" hidden="1">0</definedName>
    <definedName name="solver_reco13" localSheetId="11" hidden="1">0</definedName>
    <definedName name="solver_reco14" localSheetId="11" hidden="1">0</definedName>
    <definedName name="solver_reco15" localSheetId="11" hidden="1">0</definedName>
    <definedName name="solver_reco16" localSheetId="11" hidden="1">0</definedName>
    <definedName name="solver_reco17" localSheetId="11" hidden="1">0</definedName>
    <definedName name="solver_reco18" localSheetId="11" hidden="1">0</definedName>
    <definedName name="solver_reco2" localSheetId="9" hidden="1">0</definedName>
    <definedName name="solver_reco2" localSheetId="11" hidden="1">0</definedName>
    <definedName name="solver_reco3" localSheetId="9" hidden="1">0</definedName>
    <definedName name="solver_reco3" localSheetId="11" hidden="1">0</definedName>
    <definedName name="solver_reco4" localSheetId="9" hidden="1">0</definedName>
    <definedName name="solver_reco4" localSheetId="11" hidden="1">0</definedName>
    <definedName name="solver_reco5" localSheetId="9" hidden="1">0</definedName>
    <definedName name="solver_reco5" localSheetId="11" hidden="1">0</definedName>
    <definedName name="solver_reco6" localSheetId="9" hidden="1">0</definedName>
    <definedName name="solver_reco6" localSheetId="11" hidden="1">0</definedName>
    <definedName name="solver_reco7" localSheetId="9" hidden="1">0</definedName>
    <definedName name="solver_reco7" localSheetId="11" hidden="1">0</definedName>
    <definedName name="solver_reco8" localSheetId="9" hidden="1">0</definedName>
    <definedName name="solver_reco8" localSheetId="11" hidden="1">0</definedName>
    <definedName name="solver_reco9" localSheetId="9" hidden="1">0</definedName>
    <definedName name="solver_reco9" localSheetId="11" hidden="1">0</definedName>
    <definedName name="solver_rel0" localSheetId="2" hidden="1">1</definedName>
    <definedName name="solver_rel0" localSheetId="3" hidden="1">1</definedName>
    <definedName name="solver_rel1" localSheetId="1" hidden="1">5</definedName>
    <definedName name="solver_rel1" localSheetId="2" hidden="1">5</definedName>
    <definedName name="solver_rel1" localSheetId="3" hidden="1">2</definedName>
    <definedName name="solver_rel1" localSheetId="4" hidden="1">1</definedName>
    <definedName name="solver_rel1" localSheetId="5" hidden="1">1</definedName>
    <definedName name="solver_rel1" localSheetId="6" hidden="1">5</definedName>
    <definedName name="solver_rel1" localSheetId="9" hidden="1">5</definedName>
    <definedName name="solver_rel1" localSheetId="11" hidden="1">5</definedName>
    <definedName name="solver_rel10" localSheetId="9" hidden="1">1</definedName>
    <definedName name="solver_rel10" localSheetId="11" hidden="1">1</definedName>
    <definedName name="solver_rel11" localSheetId="11" hidden="1">1</definedName>
    <definedName name="solver_rel12" localSheetId="11" hidden="1">2</definedName>
    <definedName name="solver_rel13" localSheetId="11" hidden="1">1</definedName>
    <definedName name="solver_rel14" localSheetId="11" hidden="1">1</definedName>
    <definedName name="solver_rel15" localSheetId="11" hidden="1">1</definedName>
    <definedName name="solver_rel16" localSheetId="11" hidden="1">1</definedName>
    <definedName name="solver_rel17" localSheetId="11" hidden="1">1</definedName>
    <definedName name="solver_rel18" localSheetId="11" hidden="1">1</definedName>
    <definedName name="solver_rel2" localSheetId="1" hidden="1">1</definedName>
    <definedName name="solver_rel2" localSheetId="2" hidden="1">1</definedName>
    <definedName name="solver_rel2" localSheetId="3" hidden="1">2</definedName>
    <definedName name="solver_rel2" localSheetId="4" hidden="1">5</definedName>
    <definedName name="solver_rel2" localSheetId="5" hidden="1">5</definedName>
    <definedName name="solver_rel2" localSheetId="6" hidden="1">1</definedName>
    <definedName name="solver_rel2" localSheetId="9" hidden="1">2</definedName>
    <definedName name="solver_rel2" localSheetId="11" hidden="1">2</definedName>
    <definedName name="solver_rel3" localSheetId="1" hidden="1">1</definedName>
    <definedName name="solver_rel3" localSheetId="2" hidden="1">1</definedName>
    <definedName name="solver_rel3" localSheetId="3" hidden="1">5</definedName>
    <definedName name="solver_rel3" localSheetId="4" hidden="1">1</definedName>
    <definedName name="solver_rel3" localSheetId="5" hidden="1">1</definedName>
    <definedName name="solver_rel3" localSheetId="6" hidden="1">1</definedName>
    <definedName name="solver_rel3" localSheetId="9" hidden="1">1</definedName>
    <definedName name="solver_rel3" localSheetId="11" hidden="1">2</definedName>
    <definedName name="solver_rel4" localSheetId="1" hidden="1">1</definedName>
    <definedName name="solver_rel4" localSheetId="2" hidden="1">1</definedName>
    <definedName name="solver_rel4" localSheetId="3" hidden="1">2</definedName>
    <definedName name="solver_rel4" localSheetId="4" hidden="1">1</definedName>
    <definedName name="solver_rel4" localSheetId="5" hidden="1">1</definedName>
    <definedName name="solver_rel4" localSheetId="6" hidden="1">1</definedName>
    <definedName name="solver_rel4" localSheetId="9" hidden="1">1</definedName>
    <definedName name="solver_rel4" localSheetId="11" hidden="1">1</definedName>
    <definedName name="solver_rel5" localSheetId="1" hidden="1">2</definedName>
    <definedName name="solver_rel5" localSheetId="2" hidden="1">1</definedName>
    <definedName name="solver_rel5" localSheetId="3" hidden="1">1</definedName>
    <definedName name="solver_rel5" localSheetId="4" hidden="1">2</definedName>
    <definedName name="solver_rel5" localSheetId="5" hidden="1">2</definedName>
    <definedName name="solver_rel5" localSheetId="6" hidden="1">2</definedName>
    <definedName name="solver_rel5" localSheetId="9" hidden="1">1</definedName>
    <definedName name="solver_rel5" localSheetId="11" hidden="1">2</definedName>
    <definedName name="solver_rel6" localSheetId="3" hidden="1">1</definedName>
    <definedName name="solver_rel6" localSheetId="9" hidden="1">1</definedName>
    <definedName name="solver_rel6" localSheetId="11" hidden="1">2</definedName>
    <definedName name="solver_rel7" localSheetId="3" hidden="1">1</definedName>
    <definedName name="solver_rel7" localSheetId="9" hidden="1">1</definedName>
    <definedName name="solver_rel7" localSheetId="11" hidden="1">2</definedName>
    <definedName name="solver_rel8" localSheetId="3" hidden="1">1</definedName>
    <definedName name="solver_rel8" localSheetId="9" hidden="1">1</definedName>
    <definedName name="solver_rel8" localSheetId="11" hidden="1">1</definedName>
    <definedName name="solver_rel9" localSheetId="9" hidden="1">1</definedName>
    <definedName name="solver_rel9" localSheetId="11" hidden="1">1</definedName>
    <definedName name="solver_rep" localSheetId="9" hidden="1">0</definedName>
    <definedName name="solver_rep" localSheetId="11" hidden="1">0</definedName>
    <definedName name="solver_rhs0" localSheetId="2" hidden="1">Scenario_02!$O$16</definedName>
    <definedName name="solver_rhs0" localSheetId="3" hidden="1">Scenario_03!$O$17</definedName>
    <definedName name="solver_rhs1" localSheetId="1" hidden="1">binary</definedName>
    <definedName name="solver_rhs1" localSheetId="2" hidden="1">binary</definedName>
    <definedName name="solver_rhs1" localSheetId="3" hidden="1">1</definedName>
    <definedName name="solver_rhs1" localSheetId="4" hidden="1">Scenario_04!$E$15</definedName>
    <definedName name="solver_rhs1" localSheetId="5" hidden="1">Scenario_04_AsTabularList!$E$61</definedName>
    <definedName name="solver_rhs1" localSheetId="6" hidden="1">binary</definedName>
    <definedName name="solver_rhs10" localSheetId="9" hidden="1">'Scenario_06a_Stochastic w FL_AS'!$G$18</definedName>
    <definedName name="solver_rhs10" localSheetId="11" hidden="1">1</definedName>
    <definedName name="solver_rhs11" localSheetId="11" hidden="1">1</definedName>
    <definedName name="solver_rhs12" localSheetId="11" hidden="1">'Scenario_06b_Stochastic w FL AS'!$G$10</definedName>
    <definedName name="solver_rhs13" localSheetId="11" hidden="1">'Scenario_06b_Stochastic w FL AS'!$F$34</definedName>
    <definedName name="solver_rhs14" localSheetId="11" hidden="1">'Scenario_06b_Stochastic w FL AS'!$G$20</definedName>
    <definedName name="solver_rhs15" localSheetId="11" hidden="1">'Scenario_06b_Stochastic w FL AS'!$G$20</definedName>
    <definedName name="solver_rhs16" localSheetId="11" hidden="1">'Scenario_06b_Stochastic w FL AS'!$F$20</definedName>
    <definedName name="solver_rhs17" localSheetId="11" hidden="1">'Scenario_06b_Stochastic w FL AS'!$G$18</definedName>
    <definedName name="solver_rhs18" localSheetId="11" hidden="1">'Scenario_06b_Stochastic w FL AS'!$G$18</definedName>
    <definedName name="solver_rhs2" localSheetId="1" hidden="1">Scenario_01!$J$15</definedName>
    <definedName name="solver_rhs2" localSheetId="2" hidden="1">Scenario_02!$M$16</definedName>
    <definedName name="solver_rhs2" localSheetId="3" hidden="1">1</definedName>
    <definedName name="solver_rhs2" localSheetId="4" hidden="1">binary</definedName>
    <definedName name="solver_rhs2" localSheetId="5" hidden="1">binary</definedName>
    <definedName name="solver_rhs2" localSheetId="6" hidden="1">Scenario_05_Stochastic!$E$15</definedName>
    <definedName name="solver_rhs2" localSheetId="9" hidden="1">1</definedName>
    <definedName name="solver_rhs2" localSheetId="11" hidden="1">1</definedName>
    <definedName name="solver_rhs3" localSheetId="1" hidden="1">Scenario_01!#REF!</definedName>
    <definedName name="solver_rhs3" localSheetId="2" hidden="1">Scenario_02!$N$16</definedName>
    <definedName name="solver_rhs3" localSheetId="3" hidden="1">binary</definedName>
    <definedName name="solver_rhs3" localSheetId="4" hidden="1">Scenario_04!$F$15</definedName>
    <definedName name="solver_rhs3" localSheetId="5" hidden="1">Scenario_04_AsTabularList!$F$61</definedName>
    <definedName name="solver_rhs3" localSheetId="6" hidden="1">Scenario_05_Stochastic!$F$15</definedName>
    <definedName name="solver_rhs3" localSheetId="9" hidden="1">'Scenario_06a_Stochastic w FL_AS'!$E$18</definedName>
    <definedName name="solver_rhs3" localSheetId="11" hidden="1">0</definedName>
    <definedName name="solver_rhs4" localSheetId="1" hidden="1">Scenario_01!#REF!</definedName>
    <definedName name="solver_rhs4" localSheetId="2" hidden="1">Scenario_02!$O$16</definedName>
    <definedName name="solver_rhs4" localSheetId="3" hidden="1">Scenario_03!$L$10</definedName>
    <definedName name="solver_rhs4" localSheetId="4" hidden="1">Scenario_04!$G$15</definedName>
    <definedName name="solver_rhs4" localSheetId="5" hidden="1">Scenario_04_AsTabularList!$G$61</definedName>
    <definedName name="solver_rhs4" localSheetId="6" hidden="1">Scenario_05_Stochastic!$G$15</definedName>
    <definedName name="solver_rhs4" localSheetId="9" hidden="1">'Scenario_06a_Stochastic w FL_AS'!$F$18</definedName>
    <definedName name="solver_rhs4" localSheetId="11" hidden="1">'Scenario_06b_Stochastic w FL AS'!$E$4</definedName>
    <definedName name="solver_rhs5" localSheetId="1" hidden="1">1</definedName>
    <definedName name="solver_rhs5" localSheetId="2" hidden="1">Scenario_02!$O$16</definedName>
    <definedName name="solver_rhs5" localSheetId="3" hidden="1">Scenario_03!$L$4</definedName>
    <definedName name="solver_rhs5" localSheetId="4" hidden="1">1</definedName>
    <definedName name="solver_rhs5" localSheetId="5" hidden="1">1</definedName>
    <definedName name="solver_rhs5" localSheetId="6" hidden="1">1</definedName>
    <definedName name="solver_rhs5" localSheetId="9" hidden="1">'Scenario_06a_Stochastic w FL_AS'!$G$18</definedName>
    <definedName name="solver_rhs5" localSheetId="11" hidden="1">'Scenario_06b_Stochastic w FL AS'!$E$10</definedName>
    <definedName name="solver_rhs6" localSheetId="3" hidden="1">Scenario_03!$M$17</definedName>
    <definedName name="solver_rhs6" localSheetId="9" hidden="1">'Scenario_06a_Stochastic w FL_AS'!$G$18</definedName>
    <definedName name="solver_rhs6" localSheetId="11" hidden="1">'Scenario_06b_Stochastic w FL AS'!$F$10</definedName>
    <definedName name="solver_rhs7" localSheetId="3" hidden="1">Scenario_03!$N$17</definedName>
    <definedName name="solver_rhs7" localSheetId="9" hidden="1">'Scenario_06a_Stochastic w FL_AS'!$G$18</definedName>
    <definedName name="solver_rhs7" localSheetId="11" hidden="1">'Scenario_06b_Stochastic w FL AS'!$H$10</definedName>
    <definedName name="solver_rhs8" localSheetId="3" hidden="1">Scenario_03!$O$17</definedName>
    <definedName name="solver_rhs8" localSheetId="9" hidden="1">'Scenario_06a_Stochastic w FL_AS'!$G$18</definedName>
    <definedName name="solver_rhs8" localSheetId="11" hidden="1">'Scenario_06b_Stochastic w FL AS'!$E$20</definedName>
    <definedName name="solver_rhs9" localSheetId="9" hidden="1">'Scenario_06a_Stochastic w FL_AS'!$G$18</definedName>
    <definedName name="solver_rhs9" localSheetId="11" hidden="1">1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lx" localSheetId="4" hidden="1">2</definedName>
    <definedName name="solver_rlx" localSheetId="5" hidden="1">2</definedName>
    <definedName name="solver_rlx" localSheetId="6" hidden="1">2</definedName>
    <definedName name="solver_rlx" localSheetId="9" hidden="1">0</definedName>
    <definedName name="solver_rlx" localSheetId="11" hidden="1">0</definedName>
    <definedName name="solver_rlx" localSheetId="0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rsd" localSheetId="4" hidden="1">0</definedName>
    <definedName name="solver_rsd" localSheetId="5" hidden="1">0</definedName>
    <definedName name="solver_rsd" localSheetId="6" hidden="1">0</definedName>
    <definedName name="solver_rsd" localSheetId="9" hidden="1">0</definedName>
    <definedName name="solver_rsd" localSheetId="11" hidden="1">0</definedName>
    <definedName name="solver_rsmp" hidden="1">2</definedName>
    <definedName name="solver_rtr" localSheetId="9" hidden="1">0</definedName>
    <definedName name="solver_rtr" localSheetId="11" hidden="1">0</definedName>
    <definedName name="solver_rxc1" localSheetId="9" hidden="1">1</definedName>
    <definedName name="solver_rxc1" localSheetId="11" hidden="1">1</definedName>
    <definedName name="solver_rxc10" localSheetId="9" hidden="1">1</definedName>
    <definedName name="solver_rxc10" localSheetId="11" hidden="1">1</definedName>
    <definedName name="solver_rxc11" localSheetId="11" hidden="1">1</definedName>
    <definedName name="solver_rxc12" localSheetId="11" hidden="1">1</definedName>
    <definedName name="solver_rxc13" localSheetId="11" hidden="1">1</definedName>
    <definedName name="solver_rxc14" localSheetId="11" hidden="1">0</definedName>
    <definedName name="solver_rxc15" localSheetId="11" hidden="1">1</definedName>
    <definedName name="solver_rxc16" localSheetId="11" hidden="1">1</definedName>
    <definedName name="solver_rxc17" localSheetId="11" hidden="1">0</definedName>
    <definedName name="solver_rxc18" localSheetId="11" hidden="1">0</definedName>
    <definedName name="solver_rxc2" localSheetId="9" hidden="1">1</definedName>
    <definedName name="solver_rxc2" localSheetId="11" hidden="1">1</definedName>
    <definedName name="solver_rxc3" localSheetId="9" hidden="1">1</definedName>
    <definedName name="solver_rxc3" localSheetId="11" hidden="1">1</definedName>
    <definedName name="solver_rxc4" localSheetId="9" hidden="1">1</definedName>
    <definedName name="solver_rxc4" localSheetId="11" hidden="1">1</definedName>
    <definedName name="solver_rxc5" localSheetId="9" hidden="1">1</definedName>
    <definedName name="solver_rxc5" localSheetId="11" hidden="1">1</definedName>
    <definedName name="solver_rxc6" localSheetId="9" hidden="1">1</definedName>
    <definedName name="solver_rxc6" localSheetId="11" hidden="1">1</definedName>
    <definedName name="solver_rxc7" localSheetId="9" hidden="1">1</definedName>
    <definedName name="solver_rxc7" localSheetId="11" hidden="1">1</definedName>
    <definedName name="solver_rxc8" localSheetId="9" hidden="1">1</definedName>
    <definedName name="solver_rxc8" localSheetId="11" hidden="1">1</definedName>
    <definedName name="solver_rxc9" localSheetId="9" hidden="1">1</definedName>
    <definedName name="solver_rxc9" localSheetId="11" hidden="1">1</definedName>
    <definedName name="solver_rxv" localSheetId="9" hidden="1">1</definedName>
    <definedName name="solver_rxv" localSheetId="11" hidden="1">1</definedName>
    <definedName name="solver_rxv1" localSheetId="11" hidden="1">1</definedName>
    <definedName name="solver_rxv2" localSheetId="11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cl" localSheetId="4" hidden="1">1</definedName>
    <definedName name="solver_scl" localSheetId="5" hidden="1">2</definedName>
    <definedName name="solver_scl" localSheetId="6" hidden="1">1</definedName>
    <definedName name="solver_scl" localSheetId="9" hidden="1">1</definedName>
    <definedName name="solver_scl" localSheetId="11" hidden="1">1</definedName>
    <definedName name="solver_scl" localSheetId="0" hidden="1">2</definedName>
    <definedName name="solver_seed" hidden="1">0</definedName>
    <definedName name="solver_sel" localSheetId="9" hidden="1">1</definedName>
    <definedName name="solver_sel" localSheetId="11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9" hidden="1">2</definedName>
    <definedName name="solver_sho" localSheetId="11" hidden="1">2</definedName>
    <definedName name="solver_sho" localSheetId="0" hidden="1">0</definedName>
    <definedName name="solver_slv" localSheetId="9" hidden="1">0</definedName>
    <definedName name="solver_slv" localSheetId="11" hidden="1">0</definedName>
    <definedName name="solver_slvu" localSheetId="9" hidden="1">0</definedName>
    <definedName name="solver_slvu" localSheetId="11" hidden="1">0</definedName>
    <definedName name="solver_spid" localSheetId="9" hidden="1">" "</definedName>
    <definedName name="solver_spid" localSheetId="11" hidden="1">" "</definedName>
    <definedName name="solver_srvr" localSheetId="9" hidden="1">" "</definedName>
    <definedName name="solver_srvr" localSheetId="11" hidden="1">" "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ssz" localSheetId="4" hidden="1">100</definedName>
    <definedName name="solver_ssz" localSheetId="5" hidden="1">100</definedName>
    <definedName name="solver_ssz" localSheetId="6" hidden="1">100</definedName>
    <definedName name="solver_ssz" localSheetId="9" hidden="1">100</definedName>
    <definedName name="solver_ssz" localSheetId="11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im" localSheetId="4" hidden="1">2147483647</definedName>
    <definedName name="solver_tim" localSheetId="5" hidden="1">2147483647</definedName>
    <definedName name="solver_tim" localSheetId="6" hidden="1">2147483647</definedName>
    <definedName name="solver_tim" localSheetId="9" hidden="1">2147483647</definedName>
    <definedName name="solver_tim" localSheetId="11" hidden="1">2147483647</definedName>
    <definedName name="solver_tim" localSheetId="0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ol" localSheetId="4" hidden="1">0.01</definedName>
    <definedName name="solver_tol" localSheetId="5" hidden="1">0.01</definedName>
    <definedName name="solver_tol" localSheetId="6" hidden="1">0.01</definedName>
    <definedName name="solver_tol" localSheetId="9" hidden="1">0.01</definedName>
    <definedName name="solver_tol" localSheetId="11" hidden="1">0.01</definedName>
    <definedName name="solver_tol" localSheetId="0" hidden="1">0.05</definedName>
    <definedName name="solver_typ" localSheetId="1" hidden="1">1</definedName>
    <definedName name="solver_typ" localSheetId="2" hidden="1">1</definedName>
    <definedName name="solver_typ" localSheetId="3" hidden="1">1</definedName>
    <definedName name="solver_typ" localSheetId="4" hidden="1">1</definedName>
    <definedName name="solver_typ" localSheetId="5" hidden="1">1</definedName>
    <definedName name="solver_typ" localSheetId="6" hidden="1">1</definedName>
    <definedName name="solver_typ" localSheetId="9" hidden="1">1</definedName>
    <definedName name="solver_typ" localSheetId="11" hidden="1">1</definedName>
    <definedName name="solver_typ" localSheetId="0" hidden="1">1</definedName>
    <definedName name="solver_umod" localSheetId="9" hidden="1">1</definedName>
    <definedName name="solver_umod" localSheetId="11" hidden="1">1</definedName>
    <definedName name="solver_urs" localSheetId="9" hidden="1">0</definedName>
    <definedName name="solver_urs" localSheetId="11" hidden="1">0</definedName>
    <definedName name="solver_userid" localSheetId="1" hidden="1">491950</definedName>
    <definedName name="solver_userid" localSheetId="2" hidden="1">491950</definedName>
    <definedName name="solver_userid" localSheetId="3" hidden="1">491950</definedName>
    <definedName name="solver_userid" localSheetId="4" hidden="1">491950</definedName>
    <definedName name="solver_userid" localSheetId="5" hidden="1">491950</definedName>
    <definedName name="solver_userid" localSheetId="6" hidden="1">491950</definedName>
    <definedName name="solver_userid" localSheetId="9" hidden="1">491950</definedName>
    <definedName name="solver_userid" localSheetId="11" hidden="1">491950</definedName>
    <definedName name="solver_userid" localSheetId="0" hidden="1">491950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9" hidden="1">0</definedName>
    <definedName name="solver_val" localSheetId="11" hidden="1">0</definedName>
    <definedName name="solver_val" localSheetId="0" hidden="1">0</definedName>
    <definedName name="solver_var" localSheetId="9" hidden="1">" "</definedName>
    <definedName name="solver_var" localSheetId="11" hidden="1">" "</definedName>
    <definedName name="solver_var1" localSheetId="11" hidden="1">" "</definedName>
    <definedName name="solver_var2" localSheetId="11" hidden="1">" "</definedName>
    <definedName name="solver_ver" localSheetId="1" hidden="1">3</definedName>
    <definedName name="solver_ver" localSheetId="2" hidden="1">3</definedName>
    <definedName name="solver_ver" localSheetId="3" hidden="1">3</definedName>
    <definedName name="solver_ver" localSheetId="4" hidden="1">3</definedName>
    <definedName name="solver_ver" localSheetId="5" hidden="1">3</definedName>
    <definedName name="solver_ver" localSheetId="6" hidden="1">3</definedName>
    <definedName name="solver_ver" localSheetId="9" hidden="1">17</definedName>
    <definedName name="solver_ver" localSheetId="11" hidden="1">17</definedName>
    <definedName name="solver_ver" localSheetId="0" hidden="1">3</definedName>
    <definedName name="solver_vir" localSheetId="9" hidden="1">1</definedName>
    <definedName name="solver_vir" localSheetId="11" hidden="1">1</definedName>
    <definedName name="solver_vir1" localSheetId="11" hidden="1">1</definedName>
    <definedName name="solver_vir2" localSheetId="11" hidden="1">1</definedName>
    <definedName name="solver_vol" localSheetId="9" hidden="1">0</definedName>
    <definedName name="solver_vol" localSheetId="11" hidden="1">0</definedName>
    <definedName name="solver_vst" localSheetId="9" hidden="1">0</definedName>
    <definedName name="solver_vst" localSheetId="11" hidden="1">0</definedName>
    <definedName name="solver_vst1" localSheetId="11" hidden="1">0</definedName>
    <definedName name="solver_vst2" localSheetId="11" hidden="1">1</definedName>
    <definedName name="solveri_ISpPars_F18" localSheetId="11" hidden="1">"RiskSolver.UI.Charts.InputDlgPars:-1000001;1;1;28;23;44;50;0;90;90;0;0;0;0;1;"</definedName>
    <definedName name="solveri_ISpPars_Q3" localSheetId="9" hidden="1">"RiskSolver.UI.Charts.InputDlgPars:-1000001;1;1;28;23;44;50;0;90;90;0;0;0;0;1;"</definedName>
    <definedName name="solveri_ISpPars_Q3" localSheetId="11" hidden="1">"RiskSolver.UI.Charts.InputDlgPars:-1000001;1;1;28;23;44;50;0;90;90;0;0;0;0;1;"</definedName>
    <definedName name="TotalNPV">Scenario_03!$P$15</definedName>
    <definedName name="Yr1Constraint">Scenario_03!$M$17</definedName>
    <definedName name="Yr2Constraint">Scenario_03!$N$17</definedName>
    <definedName name="Yr3Constraint">Scenario_03!$O$17</definedName>
  </definedNames>
  <calcPr calcId="181029"/>
  <pivotCaches>
    <pivotCache cacheId="0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38" i="14" l="1"/>
  <c r="Q5" i="14"/>
  <c r="F20" i="14"/>
  <c r="G18" i="14"/>
  <c r="Z8" i="14"/>
  <c r="Q3" i="14"/>
  <c r="G20" i="14"/>
  <c r="Z7" i="14"/>
  <c r="Q7" i="14"/>
  <c r="F18" i="14"/>
  <c r="Q6" i="14"/>
  <c r="Q4" i="14"/>
  <c r="F34" i="14" l="1"/>
  <c r="F32" i="14"/>
  <c r="G32" i="14"/>
  <c r="E32" i="14"/>
  <c r="AF12" i="14"/>
  <c r="AF11" i="14"/>
  <c r="AF10" i="14"/>
  <c r="AF9" i="14"/>
  <c r="AF8" i="14"/>
  <c r="AF7" i="14"/>
  <c r="AF6" i="14"/>
  <c r="AF5" i="14"/>
  <c r="AF4" i="14"/>
  <c r="AF3" i="14"/>
  <c r="AF16" i="14" l="1"/>
  <c r="AG34" i="14" l="1"/>
  <c r="AG27" i="14"/>
  <c r="AG28" i="14"/>
  <c r="AH28" i="14"/>
  <c r="AG29" i="14"/>
  <c r="AH29" i="14"/>
  <c r="AI29" i="14"/>
  <c r="AG30" i="14"/>
  <c r="AH30" i="14"/>
  <c r="AI30" i="14"/>
  <c r="AJ30" i="14"/>
  <c r="AF3" i="13"/>
  <c r="AF4" i="13"/>
  <c r="AF5" i="13"/>
  <c r="AF6" i="13"/>
  <c r="AF7" i="13"/>
  <c r="AF8" i="13"/>
  <c r="AF9" i="13"/>
  <c r="AF10" i="13"/>
  <c r="AF11" i="13"/>
  <c r="AF12" i="13"/>
  <c r="W12" i="14"/>
  <c r="X12" i="14" s="1"/>
  <c r="Y12" i="14" s="1"/>
  <c r="N12" i="14"/>
  <c r="O12" i="14" s="1"/>
  <c r="P12" i="14" s="1"/>
  <c r="I12" i="14"/>
  <c r="W11" i="14"/>
  <c r="X11" i="14" s="1"/>
  <c r="Y11" i="14" s="1"/>
  <c r="N11" i="14"/>
  <c r="O11" i="14" s="1"/>
  <c r="P11" i="14" s="1"/>
  <c r="I11" i="14"/>
  <c r="W10" i="14"/>
  <c r="X10" i="14" s="1"/>
  <c r="Y10" i="14" s="1"/>
  <c r="N10" i="14"/>
  <c r="O10" i="14" s="1"/>
  <c r="P10" i="14" s="1"/>
  <c r="I10" i="14"/>
  <c r="W9" i="14"/>
  <c r="X9" i="14" s="1"/>
  <c r="Y9" i="14" s="1"/>
  <c r="N9" i="14"/>
  <c r="O9" i="14" s="1"/>
  <c r="P9" i="14" s="1"/>
  <c r="I9" i="14"/>
  <c r="W8" i="14"/>
  <c r="X8" i="14" s="1"/>
  <c r="Y8" i="14" s="1"/>
  <c r="N8" i="14"/>
  <c r="O8" i="14" s="1"/>
  <c r="P8" i="14" s="1"/>
  <c r="I8" i="14"/>
  <c r="W7" i="14"/>
  <c r="X7" i="14" s="1"/>
  <c r="Y7" i="14" s="1"/>
  <c r="N7" i="14"/>
  <c r="O7" i="14" s="1"/>
  <c r="P7" i="14" s="1"/>
  <c r="I7" i="14"/>
  <c r="W6" i="14"/>
  <c r="X6" i="14" s="1"/>
  <c r="Y6" i="14" s="1"/>
  <c r="N6" i="14"/>
  <c r="O6" i="14" s="1"/>
  <c r="P6" i="14" s="1"/>
  <c r="I6" i="14"/>
  <c r="W5" i="14"/>
  <c r="X5" i="14" s="1"/>
  <c r="Y5" i="14" s="1"/>
  <c r="N5" i="14"/>
  <c r="O5" i="14" s="1"/>
  <c r="P5" i="14" s="1"/>
  <c r="I5" i="14"/>
  <c r="W4" i="14"/>
  <c r="X4" i="14" s="1"/>
  <c r="Y4" i="14" s="1"/>
  <c r="N4" i="14"/>
  <c r="O4" i="14" s="1"/>
  <c r="P4" i="14" s="1"/>
  <c r="I4" i="14"/>
  <c r="W3" i="14"/>
  <c r="X3" i="14" s="1"/>
  <c r="Y3" i="14" s="1"/>
  <c r="N3" i="14"/>
  <c r="O3" i="14" s="1"/>
  <c r="P3" i="14" s="1"/>
  <c r="I3" i="14"/>
  <c r="Z4" i="14"/>
  <c r="Z12" i="14"/>
  <c r="F16" i="14"/>
  <c r="Z11" i="14"/>
  <c r="Q4" i="13"/>
  <c r="Q8" i="14"/>
  <c r="Q10" i="14"/>
  <c r="Q5" i="13"/>
  <c r="Q12" i="14"/>
  <c r="Z10" i="14"/>
  <c r="Z3" i="14"/>
  <c r="Z5" i="14"/>
  <c r="Z6" i="14"/>
  <c r="E16" i="14"/>
  <c r="Q6" i="13"/>
  <c r="Q7" i="13"/>
  <c r="G16" i="14"/>
  <c r="Q11" i="14"/>
  <c r="Z9" i="14"/>
  <c r="Q9" i="14"/>
  <c r="Q3" i="13"/>
  <c r="AF16" i="13" l="1"/>
  <c r="AD6" i="14"/>
  <c r="AA6" i="14"/>
  <c r="AD7" i="14"/>
  <c r="AA7" i="14"/>
  <c r="AD8" i="14"/>
  <c r="AA8" i="14"/>
  <c r="AD9" i="14"/>
  <c r="AA9" i="14"/>
  <c r="AD11" i="14"/>
  <c r="AA11" i="14"/>
  <c r="AD3" i="14"/>
  <c r="AA3" i="14"/>
  <c r="AD4" i="14"/>
  <c r="AA4" i="14"/>
  <c r="AD5" i="14"/>
  <c r="AA5" i="14"/>
  <c r="AD10" i="14"/>
  <c r="AA10" i="14"/>
  <c r="AD12" i="14"/>
  <c r="AA12" i="14"/>
  <c r="H14" i="14"/>
  <c r="R3" i="14"/>
  <c r="R4" i="14"/>
  <c r="R5" i="14"/>
  <c r="R6" i="14"/>
  <c r="R7" i="14"/>
  <c r="R8" i="14"/>
  <c r="R9" i="14"/>
  <c r="R10" i="14"/>
  <c r="R11" i="14"/>
  <c r="R12" i="14"/>
  <c r="F14" i="14"/>
  <c r="E16" i="13"/>
  <c r="E14" i="14"/>
  <c r="G16" i="13"/>
  <c r="G14" i="14"/>
  <c r="F16" i="13"/>
  <c r="AD14" i="14"/>
  <c r="AD16" i="14" l="1"/>
  <c r="C14" i="13" l="1"/>
  <c r="W12" i="13"/>
  <c r="X12" i="13" s="1"/>
  <c r="Y12" i="13" s="1"/>
  <c r="N12" i="13"/>
  <c r="O12" i="13" s="1"/>
  <c r="I12" i="13"/>
  <c r="W11" i="13"/>
  <c r="X11" i="13" s="1"/>
  <c r="Y11" i="13" s="1"/>
  <c r="N11" i="13"/>
  <c r="O11" i="13" s="1"/>
  <c r="I11" i="13"/>
  <c r="W10" i="13"/>
  <c r="X10" i="13" s="1"/>
  <c r="Y10" i="13" s="1"/>
  <c r="N10" i="13"/>
  <c r="O10" i="13" s="1"/>
  <c r="I10" i="13"/>
  <c r="W9" i="13"/>
  <c r="X9" i="13" s="1"/>
  <c r="Y9" i="13" s="1"/>
  <c r="N9" i="13"/>
  <c r="O9" i="13" s="1"/>
  <c r="I9" i="13"/>
  <c r="W8" i="13"/>
  <c r="X8" i="13" s="1"/>
  <c r="Y8" i="13" s="1"/>
  <c r="N8" i="13"/>
  <c r="O8" i="13" s="1"/>
  <c r="I8" i="13"/>
  <c r="W7" i="13"/>
  <c r="X7" i="13" s="1"/>
  <c r="Y7" i="13" s="1"/>
  <c r="N7" i="13"/>
  <c r="O7" i="13" s="1"/>
  <c r="I7" i="13"/>
  <c r="W6" i="13"/>
  <c r="X6" i="13" s="1"/>
  <c r="N6" i="13"/>
  <c r="O6" i="13" s="1"/>
  <c r="I6" i="13"/>
  <c r="W5" i="13"/>
  <c r="X5" i="13" s="1"/>
  <c r="Y5" i="13" s="1"/>
  <c r="N5" i="13"/>
  <c r="O5" i="13" s="1"/>
  <c r="I5" i="13"/>
  <c r="X4" i="13"/>
  <c r="W4" i="13"/>
  <c r="P4" i="13"/>
  <c r="O4" i="13"/>
  <c r="N4" i="13"/>
  <c r="I4" i="13"/>
  <c r="Y3" i="13"/>
  <c r="X3" i="13"/>
  <c r="W3" i="13"/>
  <c r="O3" i="13"/>
  <c r="P3" i="13" s="1"/>
  <c r="N3" i="13"/>
  <c r="I3" i="13"/>
  <c r="Q9" i="13"/>
  <c r="Z4" i="13"/>
  <c r="Q11" i="13"/>
  <c r="Z6" i="13"/>
  <c r="Z8" i="13"/>
  <c r="Z9" i="13"/>
  <c r="Z12" i="13"/>
  <c r="Z10" i="13"/>
  <c r="Q12" i="13"/>
  <c r="Z11" i="13"/>
  <c r="Z7" i="13"/>
  <c r="Q8" i="13"/>
  <c r="Z5" i="13"/>
  <c r="Z3" i="13"/>
  <c r="Q10" i="13"/>
  <c r="AD7" i="13" l="1"/>
  <c r="R4" i="13"/>
  <c r="P6" i="13"/>
  <c r="R6" i="13"/>
  <c r="AA12" i="13"/>
  <c r="AD5" i="13"/>
  <c r="AA10" i="13"/>
  <c r="R3" i="13"/>
  <c r="P7" i="13"/>
  <c r="R7" i="13" s="1"/>
  <c r="R5" i="13"/>
  <c r="P5" i="13"/>
  <c r="P9" i="13"/>
  <c r="R9" i="13" s="1"/>
  <c r="Y4" i="13"/>
  <c r="Y6" i="13"/>
  <c r="P10" i="13"/>
  <c r="R10" i="13" s="1"/>
  <c r="R8" i="13"/>
  <c r="P8" i="13"/>
  <c r="P11" i="13"/>
  <c r="R11" i="13" s="1"/>
  <c r="AA7" i="13"/>
  <c r="P12" i="13"/>
  <c r="R12" i="13" s="1"/>
  <c r="F14" i="13"/>
  <c r="E14" i="13"/>
  <c r="G14" i="13"/>
  <c r="AD10" i="13" l="1"/>
  <c r="AD12" i="13"/>
  <c r="AA5" i="13"/>
  <c r="AA4" i="13"/>
  <c r="AD4" i="13"/>
  <c r="AA6" i="13"/>
  <c r="AD6" i="13"/>
  <c r="AA3" i="13"/>
  <c r="AD3" i="13"/>
  <c r="AA9" i="13"/>
  <c r="AD9" i="13"/>
  <c r="AD8" i="13"/>
  <c r="AA8" i="13"/>
  <c r="G20" i="13"/>
  <c r="F20" i="13"/>
  <c r="AA11" i="13"/>
  <c r="AD11" i="13"/>
  <c r="E20" i="13"/>
  <c r="H14" i="13"/>
  <c r="I33" i="10"/>
  <c r="I32" i="10"/>
  <c r="I31" i="10"/>
  <c r="I30" i="10"/>
  <c r="I29" i="10"/>
  <c r="I28" i="10"/>
  <c r="I27" i="10"/>
  <c r="I26" i="10"/>
  <c r="I25" i="10"/>
  <c r="I24" i="10"/>
  <c r="H128" i="2"/>
  <c r="G128" i="2"/>
  <c r="F128" i="2"/>
  <c r="H112" i="2"/>
  <c r="G112" i="2"/>
  <c r="F112" i="2"/>
  <c r="H67" i="2" l="1"/>
  <c r="G67" i="2"/>
  <c r="F67" i="2"/>
  <c r="H82" i="2"/>
  <c r="G82" i="2"/>
  <c r="F82" i="2"/>
  <c r="H97" i="2"/>
  <c r="G97" i="2"/>
  <c r="F97" i="2"/>
  <c r="J4" i="7"/>
  <c r="J5" i="7"/>
  <c r="J6" i="7"/>
  <c r="J7" i="7"/>
  <c r="J8" i="7"/>
  <c r="J9" i="7"/>
  <c r="J10" i="7"/>
  <c r="J11" i="7"/>
  <c r="J12" i="7"/>
  <c r="AD14" i="13"/>
  <c r="AD16" i="13" l="1"/>
  <c r="L3" i="7"/>
  <c r="M3" i="2" l="1"/>
  <c r="AG6" i="5"/>
  <c r="AH5" i="5"/>
  <c r="AH6" i="5"/>
  <c r="AG4" i="5"/>
  <c r="AG5" i="5"/>
  <c r="AH4" i="5"/>
  <c r="D20" i="11" l="1"/>
  <c r="D19" i="11"/>
  <c r="M12" i="11"/>
  <c r="N12" i="11"/>
  <c r="O12" i="11"/>
  <c r="P12" i="11"/>
  <c r="P13" i="11"/>
  <c r="O13" i="11"/>
  <c r="N13" i="11"/>
  <c r="M13" i="11"/>
  <c r="P11" i="11"/>
  <c r="O11" i="11"/>
  <c r="N11" i="11"/>
  <c r="M11" i="11"/>
  <c r="P10" i="11"/>
  <c r="O10" i="11"/>
  <c r="N10" i="11"/>
  <c r="M10" i="11"/>
  <c r="P9" i="11"/>
  <c r="O9" i="11"/>
  <c r="N9" i="11"/>
  <c r="M9" i="11"/>
  <c r="P8" i="11"/>
  <c r="O8" i="11"/>
  <c r="N8" i="11"/>
  <c r="M8" i="11"/>
  <c r="P7" i="11"/>
  <c r="O7" i="11"/>
  <c r="N7" i="11"/>
  <c r="M7" i="11"/>
  <c r="P6" i="11"/>
  <c r="O6" i="11"/>
  <c r="N6" i="11"/>
  <c r="M6" i="11"/>
  <c r="P5" i="11"/>
  <c r="O5" i="11"/>
  <c r="N5" i="11"/>
  <c r="M5" i="11"/>
  <c r="P4" i="11"/>
  <c r="O4" i="11"/>
  <c r="N4" i="11"/>
  <c r="M4" i="11"/>
  <c r="P3" i="11"/>
  <c r="O3" i="11"/>
  <c r="N3" i="11"/>
  <c r="M3" i="11"/>
  <c r="L4" i="7"/>
  <c r="L5" i="7"/>
  <c r="L6" i="7"/>
  <c r="L7" i="7"/>
  <c r="L8" i="7"/>
  <c r="L9" i="7"/>
  <c r="L10" i="7"/>
  <c r="L11" i="7"/>
  <c r="L12" i="7"/>
  <c r="N15" i="11" l="1"/>
  <c r="M15" i="11"/>
  <c r="O15" i="11"/>
  <c r="P15" i="11"/>
  <c r="J4" i="2" l="1"/>
  <c r="J5" i="2"/>
  <c r="J6" i="2"/>
  <c r="J7" i="2"/>
  <c r="J8" i="2"/>
  <c r="J9" i="2"/>
  <c r="J10" i="2"/>
  <c r="J11" i="2"/>
  <c r="J12" i="2"/>
  <c r="J3" i="2"/>
  <c r="G24" i="3"/>
  <c r="G25" i="3"/>
  <c r="G26" i="3"/>
  <c r="G27" i="3"/>
  <c r="G28" i="3"/>
  <c r="G29" i="3"/>
  <c r="G30" i="3"/>
  <c r="G31" i="3"/>
  <c r="G32" i="3"/>
  <c r="G23" i="3"/>
  <c r="G14" i="3"/>
  <c r="G15" i="3"/>
  <c r="G16" i="3"/>
  <c r="G17" i="3"/>
  <c r="G18" i="3"/>
  <c r="G19" i="3"/>
  <c r="G20" i="3"/>
  <c r="G21" i="3"/>
  <c r="G22" i="3"/>
  <c r="G13" i="3"/>
  <c r="G4" i="3"/>
  <c r="G5" i="3"/>
  <c r="G6" i="3"/>
  <c r="G7" i="3"/>
  <c r="G8" i="3"/>
  <c r="G9" i="3"/>
  <c r="G10" i="3"/>
  <c r="G11" i="3"/>
  <c r="G12" i="3"/>
  <c r="G3" i="3"/>
  <c r="J3" i="7"/>
  <c r="J14" i="7" l="1"/>
  <c r="K25" i="10"/>
  <c r="L26" i="10"/>
  <c r="L27" i="10"/>
  <c r="K28" i="10"/>
  <c r="K29" i="10"/>
  <c r="L30" i="10"/>
  <c r="L31" i="10"/>
  <c r="K32" i="10"/>
  <c r="K33" i="10"/>
  <c r="N24" i="10"/>
  <c r="AE21" i="5"/>
  <c r="AE22" i="5"/>
  <c r="AE23" i="5"/>
  <c r="AE24" i="5"/>
  <c r="AE25" i="5"/>
  <c r="AE26" i="5"/>
  <c r="AE27" i="5"/>
  <c r="AE28" i="5"/>
  <c r="AE29" i="5"/>
  <c r="AE20" i="5"/>
  <c r="K5" i="10" a="1"/>
  <c r="K5" i="10" s="1"/>
  <c r="L5" i="10" a="1"/>
  <c r="L5" i="10" s="1"/>
  <c r="M5" i="10" a="1"/>
  <c r="M5" i="10" s="1"/>
  <c r="N5" i="10" a="1"/>
  <c r="N5" i="10" s="1"/>
  <c r="K6" i="10" a="1"/>
  <c r="K6" i="10" s="1"/>
  <c r="L6" i="10" a="1"/>
  <c r="L6" i="10" s="1"/>
  <c r="M6" i="10" a="1"/>
  <c r="M6" i="10" s="1"/>
  <c r="N6" i="10" a="1"/>
  <c r="N6" i="10" s="1"/>
  <c r="K7" i="10" a="1"/>
  <c r="K7" i="10" s="1"/>
  <c r="L7" i="10" a="1"/>
  <c r="L7" i="10" s="1"/>
  <c r="M7" i="10" a="1"/>
  <c r="M7" i="10" s="1"/>
  <c r="N7" i="10" a="1"/>
  <c r="N7" i="10" s="1"/>
  <c r="K8" i="10" a="1"/>
  <c r="K8" i="10" s="1"/>
  <c r="L8" i="10" a="1"/>
  <c r="L8" i="10" s="1"/>
  <c r="M8" i="10" a="1"/>
  <c r="M8" i="10" s="1"/>
  <c r="N8" i="10" a="1"/>
  <c r="N8" i="10" s="1"/>
  <c r="K9" i="10" a="1"/>
  <c r="K9" i="10" s="1"/>
  <c r="L9" i="10" a="1"/>
  <c r="L9" i="10" s="1"/>
  <c r="M9" i="10" a="1"/>
  <c r="M9" i="10" s="1"/>
  <c r="N9" i="10" a="1"/>
  <c r="N9" i="10" s="1"/>
  <c r="K10" i="10" a="1"/>
  <c r="K10" i="10" s="1"/>
  <c r="L10" i="10" a="1"/>
  <c r="L10" i="10" s="1"/>
  <c r="M10" i="10" a="1"/>
  <c r="M10" i="10" s="1"/>
  <c r="N10" i="10" a="1"/>
  <c r="N10" i="10" s="1"/>
  <c r="K11" i="10" a="1"/>
  <c r="K11" i="10" s="1"/>
  <c r="L11" i="10" a="1"/>
  <c r="L11" i="10" s="1"/>
  <c r="M11" i="10" a="1"/>
  <c r="M11" i="10" s="1"/>
  <c r="N11" i="10" a="1"/>
  <c r="N11" i="10" s="1"/>
  <c r="K12" i="10" a="1"/>
  <c r="K12" i="10" s="1"/>
  <c r="L12" i="10" a="1"/>
  <c r="L12" i="10" s="1"/>
  <c r="M12" i="10" a="1"/>
  <c r="M12" i="10" s="1"/>
  <c r="N12" i="10" a="1"/>
  <c r="N12" i="10" s="1"/>
  <c r="K13" i="10" a="1"/>
  <c r="K13" i="10" s="1"/>
  <c r="L13" i="10" a="1"/>
  <c r="L13" i="10" s="1"/>
  <c r="M13" i="10" a="1"/>
  <c r="M13" i="10" s="1"/>
  <c r="N13" i="10" a="1"/>
  <c r="N13" i="10" s="1"/>
  <c r="K14" i="10" a="1"/>
  <c r="K14" i="10" s="1"/>
  <c r="L14" i="10" a="1"/>
  <c r="L14" i="10" s="1"/>
  <c r="M14" i="10" a="1"/>
  <c r="M14" i="10" s="1"/>
  <c r="N14" i="10" a="1"/>
  <c r="N14" i="10" s="1"/>
  <c r="K15" i="10" a="1"/>
  <c r="K15" i="10" s="1"/>
  <c r="K24" i="10" l="1"/>
  <c r="K31" i="10"/>
  <c r="N27" i="10"/>
  <c r="M24" i="10"/>
  <c r="N30" i="10"/>
  <c r="K27" i="10"/>
  <c r="N33" i="10"/>
  <c r="K30" i="10"/>
  <c r="N26" i="10"/>
  <c r="N31" i="10"/>
  <c r="N29" i="10"/>
  <c r="K26" i="10"/>
  <c r="N32" i="10"/>
  <c r="N28" i="10"/>
  <c r="N25" i="10"/>
  <c r="L24" i="10"/>
  <c r="M33" i="10"/>
  <c r="M32" i="10"/>
  <c r="M31" i="10"/>
  <c r="M30" i="10"/>
  <c r="M29" i="10"/>
  <c r="M28" i="10"/>
  <c r="M27" i="10"/>
  <c r="M26" i="10"/>
  <c r="M25" i="10"/>
  <c r="L33" i="10"/>
  <c r="L32" i="10"/>
  <c r="L29" i="10"/>
  <c r="L28" i="10"/>
  <c r="L25" i="10"/>
  <c r="AE31" i="5"/>
  <c r="I29" i="5"/>
  <c r="I28" i="5"/>
  <c r="I27" i="5"/>
  <c r="I26" i="5"/>
  <c r="I25" i="5"/>
  <c r="I24" i="5"/>
  <c r="I23" i="5"/>
  <c r="I22" i="5"/>
  <c r="I21" i="5"/>
  <c r="I20" i="5"/>
  <c r="W5" i="5"/>
  <c r="X5" i="5" s="1"/>
  <c r="W6" i="5"/>
  <c r="X6" i="5" s="1"/>
  <c r="W7" i="5"/>
  <c r="X7" i="5" s="1"/>
  <c r="Y7" i="5" s="1"/>
  <c r="Z7" i="5" s="1"/>
  <c r="W8" i="5"/>
  <c r="X8" i="5" s="1"/>
  <c r="Y8" i="5" s="1"/>
  <c r="AA7" i="5" l="1"/>
  <c r="AD7" i="5"/>
  <c r="Y6" i="5"/>
  <c r="Z6" i="5" s="1"/>
  <c r="Y5" i="5"/>
  <c r="Z5" i="5" s="1"/>
  <c r="Z8" i="5"/>
  <c r="AA8" i="5" s="1"/>
  <c r="M4" i="8"/>
  <c r="N4" i="8"/>
  <c r="O4" i="8"/>
  <c r="M5" i="8"/>
  <c r="N5" i="8"/>
  <c r="O5" i="8"/>
  <c r="M6" i="8"/>
  <c r="N6" i="8"/>
  <c r="O6" i="8"/>
  <c r="M7" i="8"/>
  <c r="N7" i="8"/>
  <c r="O7" i="8"/>
  <c r="M8" i="8"/>
  <c r="N8" i="8"/>
  <c r="O8" i="8"/>
  <c r="M9" i="8"/>
  <c r="N9" i="8"/>
  <c r="O9" i="8"/>
  <c r="M10" i="8"/>
  <c r="N10" i="8"/>
  <c r="O10" i="8"/>
  <c r="M11" i="8"/>
  <c r="N11" i="8"/>
  <c r="O11" i="8"/>
  <c r="M12" i="8"/>
  <c r="N12" i="8"/>
  <c r="O12" i="8"/>
  <c r="N3" i="8"/>
  <c r="O3" i="8"/>
  <c r="M3" i="8"/>
  <c r="P12" i="8"/>
  <c r="P11" i="8"/>
  <c r="P10" i="8"/>
  <c r="P9" i="8"/>
  <c r="P8" i="8"/>
  <c r="P7" i="8"/>
  <c r="P6" i="8"/>
  <c r="P5" i="8"/>
  <c r="P4" i="8"/>
  <c r="P3" i="8"/>
  <c r="K4" i="7"/>
  <c r="K5" i="7"/>
  <c r="K6" i="7"/>
  <c r="K7" i="7"/>
  <c r="K8" i="7"/>
  <c r="K9" i="7"/>
  <c r="K10" i="7"/>
  <c r="K11" i="7"/>
  <c r="K12" i="7"/>
  <c r="K3" i="7"/>
  <c r="AA6" i="5" l="1"/>
  <c r="AD6" i="5"/>
  <c r="AA5" i="5"/>
  <c r="AD5" i="5"/>
  <c r="M14" i="8"/>
  <c r="O14" i="8"/>
  <c r="N14" i="8"/>
  <c r="P14" i="8"/>
  <c r="K14" i="7"/>
  <c r="AI41" i="5"/>
  <c r="AH41" i="5"/>
  <c r="AG41" i="5"/>
  <c r="AL41" i="5"/>
  <c r="AK41" i="5"/>
  <c r="AJ41" i="5"/>
  <c r="AE41" i="5"/>
  <c r="AC42" i="5"/>
  <c r="AC43" i="5" s="1"/>
  <c r="AC44" i="5" s="1"/>
  <c r="AC45" i="5" s="1"/>
  <c r="AC46" i="5" s="1"/>
  <c r="AC47" i="5" s="1"/>
  <c r="AC48" i="5" s="1"/>
  <c r="AC49" i="5" s="1"/>
  <c r="AC50" i="5" s="1"/>
  <c r="AC51" i="5" s="1"/>
  <c r="AC52" i="5" s="1"/>
  <c r="AC53" i="5" s="1"/>
  <c r="AC54" i="5" s="1"/>
  <c r="AC55" i="5" s="1"/>
  <c r="AC56" i="5" s="1"/>
  <c r="AC57" i="5" s="1"/>
  <c r="AC58" i="5" s="1"/>
  <c r="AC59" i="5" s="1"/>
  <c r="AC60" i="5" s="1"/>
  <c r="AC61" i="5" s="1"/>
  <c r="AC62" i="5" s="1"/>
  <c r="AC63" i="5" s="1"/>
  <c r="AC64" i="5" s="1"/>
  <c r="AC65" i="5" s="1"/>
  <c r="AC66" i="5" s="1"/>
  <c r="AC67" i="5" s="1"/>
  <c r="AC68" i="5" s="1"/>
  <c r="AC69" i="5" s="1"/>
  <c r="AC70" i="5" s="1"/>
  <c r="AC71" i="5" s="1"/>
  <c r="AC72" i="5" s="1"/>
  <c r="AC73" i="5" s="1"/>
  <c r="AC74" i="5" s="1"/>
  <c r="AC75" i="5" s="1"/>
  <c r="AC76" i="5" s="1"/>
  <c r="AC77" i="5" s="1"/>
  <c r="AC78" i="5" s="1"/>
  <c r="AC79" i="5" s="1"/>
  <c r="AC80" i="5" s="1"/>
  <c r="AC81" i="5" s="1"/>
  <c r="AC82" i="5" s="1"/>
  <c r="AC83" i="5" s="1"/>
  <c r="AC84" i="5" s="1"/>
  <c r="AC85" i="5" s="1"/>
  <c r="AC86" i="5" s="1"/>
  <c r="AC87" i="5" s="1"/>
  <c r="AC88" i="5" s="1"/>
  <c r="AC89" i="5" s="1"/>
  <c r="AC90" i="5" s="1"/>
  <c r="AC91" i="5" s="1"/>
  <c r="AC92" i="5" s="1"/>
  <c r="AC93" i="5" s="1"/>
  <c r="AC94" i="5" s="1"/>
  <c r="AC95" i="5" s="1"/>
  <c r="AC96" i="5" s="1"/>
  <c r="AC97" i="5" s="1"/>
  <c r="AC98" i="5" s="1"/>
  <c r="AC99" i="5" s="1"/>
  <c r="AC100" i="5" s="1"/>
  <c r="AC101" i="5" s="1"/>
  <c r="AC102" i="5" s="1"/>
  <c r="AC103" i="5" s="1"/>
  <c r="AC104" i="5" s="1"/>
  <c r="AC105" i="5" s="1"/>
  <c r="AC106" i="5" s="1"/>
  <c r="AC107" i="5" s="1"/>
  <c r="AC108" i="5" s="1"/>
  <c r="AC109" i="5" s="1"/>
  <c r="AC110" i="5" s="1"/>
  <c r="AC111" i="5" s="1"/>
  <c r="AC112" i="5" s="1"/>
  <c r="AC113" i="5" s="1"/>
  <c r="AC114" i="5" s="1"/>
  <c r="AC115" i="5" s="1"/>
  <c r="AC116" i="5" s="1"/>
  <c r="AC117" i="5" s="1"/>
  <c r="AC118" i="5" s="1"/>
  <c r="AC119" i="5" s="1"/>
  <c r="AC120" i="5" s="1"/>
  <c r="AC121" i="5" s="1"/>
  <c r="AC122" i="5" s="1"/>
  <c r="AC123" i="5" s="1"/>
  <c r="AC124" i="5" s="1"/>
  <c r="AC125" i="5" s="1"/>
  <c r="AC126" i="5" s="1"/>
  <c r="AC127" i="5" s="1"/>
  <c r="AC128" i="5" s="1"/>
  <c r="AC129" i="5" s="1"/>
  <c r="AC130" i="5" s="1"/>
  <c r="AC131" i="5" s="1"/>
  <c r="AC132" i="5" s="1"/>
  <c r="AC133" i="5" s="1"/>
  <c r="AC134" i="5" s="1"/>
  <c r="AC135" i="5" s="1"/>
  <c r="AC136" i="5" s="1"/>
  <c r="AC137" i="5" s="1"/>
  <c r="AC138" i="5" s="1"/>
  <c r="AC139" i="5" s="1"/>
  <c r="AC140" i="5" s="1"/>
  <c r="F31" i="5"/>
  <c r="F34" i="5" s="1"/>
  <c r="G31" i="5"/>
  <c r="G34" i="5" s="1"/>
  <c r="H31" i="5"/>
  <c r="E31" i="5"/>
  <c r="E34" i="5" s="1"/>
  <c r="AD20" i="5"/>
  <c r="O3" i="2" l="1"/>
  <c r="O4" i="2"/>
  <c r="O5" i="2"/>
  <c r="O6" i="2"/>
  <c r="O7" i="2"/>
  <c r="O8" i="2"/>
  <c r="O9" i="2"/>
  <c r="O10" i="2"/>
  <c r="O11" i="2"/>
  <c r="O12" i="2"/>
  <c r="N4" i="2"/>
  <c r="N5" i="2"/>
  <c r="N6" i="2"/>
  <c r="N7" i="2"/>
  <c r="N8" i="2"/>
  <c r="N9" i="2"/>
  <c r="N10" i="2"/>
  <c r="N11" i="2"/>
  <c r="N12" i="2"/>
  <c r="N3" i="2"/>
  <c r="M4" i="2"/>
  <c r="M5" i="2"/>
  <c r="M6" i="2"/>
  <c r="M7" i="2"/>
  <c r="M8" i="2"/>
  <c r="M9" i="2"/>
  <c r="M10" i="2"/>
  <c r="M11" i="2"/>
  <c r="M12" i="2"/>
  <c r="W12" i="5" l="1"/>
  <c r="X12" i="5" s="1"/>
  <c r="W11" i="5"/>
  <c r="X11" i="5" s="1"/>
  <c r="W10" i="5"/>
  <c r="X10" i="5" s="1"/>
  <c r="W9" i="5"/>
  <c r="X9" i="5" s="1"/>
  <c r="W4" i="5"/>
  <c r="X4" i="5" s="1"/>
  <c r="W3" i="5"/>
  <c r="X3" i="5" s="1"/>
  <c r="Y10" i="5" l="1"/>
  <c r="Z10" i="5" s="1"/>
  <c r="AD10" i="5" s="1"/>
  <c r="Y9" i="5"/>
  <c r="Z9" i="5" s="1"/>
  <c r="AD9" i="5" s="1"/>
  <c r="Y3" i="5"/>
  <c r="Z3" i="5" s="1"/>
  <c r="AD3" i="5" s="1"/>
  <c r="Y11" i="5"/>
  <c r="Z11" i="5" s="1"/>
  <c r="AD11" i="5" s="1"/>
  <c r="Y4" i="5"/>
  <c r="Z4" i="5" s="1"/>
  <c r="AD4" i="5" s="1"/>
  <c r="AD8" i="5"/>
  <c r="Y12" i="5"/>
  <c r="Z12" i="5" s="1"/>
  <c r="AD12" i="5" s="1"/>
  <c r="C14" i="5"/>
  <c r="N4" i="5"/>
  <c r="O4" i="5" s="1"/>
  <c r="N5" i="5"/>
  <c r="O5" i="5" s="1"/>
  <c r="N6" i="5"/>
  <c r="O6" i="5" s="1"/>
  <c r="P6" i="5" s="1"/>
  <c r="N7" i="5"/>
  <c r="O7" i="5" s="1"/>
  <c r="P7" i="5" s="1"/>
  <c r="N8" i="5"/>
  <c r="O8" i="5" s="1"/>
  <c r="N9" i="5"/>
  <c r="O9" i="5" s="1"/>
  <c r="P9" i="5" s="1"/>
  <c r="N10" i="5"/>
  <c r="O10" i="5" s="1"/>
  <c r="P10" i="5" s="1"/>
  <c r="N11" i="5"/>
  <c r="O11" i="5" s="1"/>
  <c r="P11" i="5" s="1"/>
  <c r="N12" i="5"/>
  <c r="O12" i="5" s="1"/>
  <c r="P12" i="5" s="1"/>
  <c r="N3" i="5"/>
  <c r="I12" i="5"/>
  <c r="I11" i="5"/>
  <c r="I10" i="5"/>
  <c r="I9" i="5"/>
  <c r="I8" i="5"/>
  <c r="I7" i="5"/>
  <c r="I6" i="5"/>
  <c r="I5" i="5"/>
  <c r="I4" i="5"/>
  <c r="I3" i="5"/>
  <c r="AA4" i="5" l="1"/>
  <c r="AD21" i="5" s="1"/>
  <c r="AD23" i="5"/>
  <c r="AA12" i="5"/>
  <c r="AD29" i="5" s="1"/>
  <c r="AD22" i="5"/>
  <c r="AA9" i="5"/>
  <c r="AD26" i="5" s="1"/>
  <c r="AD24" i="5"/>
  <c r="AD25" i="5"/>
  <c r="AA11" i="5"/>
  <c r="AD28" i="5" s="1"/>
  <c r="AA10" i="5"/>
  <c r="AD27" i="5" s="1"/>
  <c r="AA3" i="5"/>
  <c r="P4" i="5"/>
  <c r="Q4" i="5" s="1"/>
  <c r="R4" i="5" s="1"/>
  <c r="Q6" i="5"/>
  <c r="R6" i="5" s="1"/>
  <c r="Q7" i="5"/>
  <c r="R7" i="5" s="1"/>
  <c r="P5" i="5"/>
  <c r="Q5" i="5" s="1"/>
  <c r="R5" i="5" s="1"/>
  <c r="Q12" i="5"/>
  <c r="R12" i="5" s="1"/>
  <c r="Q11" i="5"/>
  <c r="R11" i="5" s="1"/>
  <c r="Q10" i="5"/>
  <c r="R10" i="5" s="1"/>
  <c r="Q9" i="5"/>
  <c r="R9" i="5" s="1"/>
  <c r="P8" i="5"/>
  <c r="Q8" i="5" s="1"/>
  <c r="R8" i="5" s="1"/>
  <c r="O3" i="5"/>
  <c r="H33" i="3"/>
  <c r="H34" i="3"/>
  <c r="H35" i="3"/>
  <c r="H36" i="3"/>
  <c r="H37" i="3"/>
  <c r="H38" i="3"/>
  <c r="H39" i="3"/>
  <c r="H40" i="3"/>
  <c r="H41" i="3"/>
  <c r="H42" i="3"/>
  <c r="E14" i="2"/>
  <c r="H50" i="3"/>
  <c r="H51" i="3"/>
  <c r="H52" i="3"/>
  <c r="H53" i="3"/>
  <c r="H54" i="3"/>
  <c r="H55" i="3"/>
  <c r="H56" i="3"/>
  <c r="H57" i="3"/>
  <c r="H58" i="3"/>
  <c r="H49" i="3"/>
  <c r="G50" i="3"/>
  <c r="G51" i="3"/>
  <c r="G52" i="3"/>
  <c r="G53" i="3"/>
  <c r="G54" i="3"/>
  <c r="G55" i="3"/>
  <c r="G56" i="3"/>
  <c r="G57" i="3"/>
  <c r="G58" i="3"/>
  <c r="G49" i="3"/>
  <c r="F50" i="3"/>
  <c r="F51" i="3"/>
  <c r="F52" i="3"/>
  <c r="F53" i="3"/>
  <c r="F54" i="3"/>
  <c r="F55" i="3"/>
  <c r="F56" i="3"/>
  <c r="F57" i="3"/>
  <c r="F58" i="3"/>
  <c r="F49" i="3"/>
  <c r="E50" i="3"/>
  <c r="E51" i="3"/>
  <c r="E52" i="3"/>
  <c r="E53" i="3"/>
  <c r="E54" i="3"/>
  <c r="E55" i="3"/>
  <c r="E56" i="3"/>
  <c r="E57" i="3"/>
  <c r="E58" i="3"/>
  <c r="E49" i="3"/>
  <c r="I12" i="3"/>
  <c r="I4" i="3"/>
  <c r="I5" i="3"/>
  <c r="I6" i="3"/>
  <c r="I7" i="3"/>
  <c r="I8" i="3"/>
  <c r="I9" i="3"/>
  <c r="I10" i="3"/>
  <c r="I11" i="3"/>
  <c r="I3" i="3"/>
  <c r="H24" i="3"/>
  <c r="H25" i="3"/>
  <c r="H26" i="3"/>
  <c r="H27" i="3"/>
  <c r="H28" i="3"/>
  <c r="H29" i="3"/>
  <c r="H30" i="3"/>
  <c r="H31" i="3"/>
  <c r="H32" i="3"/>
  <c r="H23" i="3"/>
  <c r="H13" i="3"/>
  <c r="H14" i="3"/>
  <c r="H15" i="3"/>
  <c r="H16" i="3"/>
  <c r="H17" i="3"/>
  <c r="H18" i="3"/>
  <c r="H19" i="3"/>
  <c r="H20" i="3"/>
  <c r="H21" i="3"/>
  <c r="H22" i="3"/>
  <c r="H12" i="3"/>
  <c r="H4" i="3"/>
  <c r="H5" i="3"/>
  <c r="H6" i="3"/>
  <c r="H7" i="3"/>
  <c r="H8" i="3"/>
  <c r="H9" i="3"/>
  <c r="H10" i="3"/>
  <c r="H11" i="3"/>
  <c r="H3" i="3"/>
  <c r="A13" i="3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I3" i="2"/>
  <c r="J49" i="3" l="1"/>
  <c r="J55" i="3"/>
  <c r="J51" i="3"/>
  <c r="J52" i="3"/>
  <c r="J54" i="3"/>
  <c r="J58" i="3"/>
  <c r="J50" i="3"/>
  <c r="J56" i="3"/>
  <c r="J57" i="3"/>
  <c r="J53" i="3"/>
  <c r="AD31" i="5"/>
  <c r="AD14" i="5"/>
  <c r="AD40" i="5" s="1"/>
  <c r="P3" i="5"/>
  <c r="Q3" i="5" s="1"/>
  <c r="E14" i="5" s="1"/>
  <c r="H44" i="3"/>
  <c r="I52" i="3"/>
  <c r="I58" i="3"/>
  <c r="I51" i="3"/>
  <c r="I49" i="3"/>
  <c r="I56" i="3"/>
  <c r="I54" i="3"/>
  <c r="G60" i="3"/>
  <c r="I50" i="3"/>
  <c r="E60" i="3"/>
  <c r="I55" i="3"/>
  <c r="F60" i="3"/>
  <c r="I57" i="3"/>
  <c r="I53" i="3"/>
  <c r="I12" i="2"/>
  <c r="F14" i="2"/>
  <c r="G14" i="2"/>
  <c r="I8" i="2"/>
  <c r="I9" i="2"/>
  <c r="I10" i="2"/>
  <c r="I11" i="2"/>
  <c r="I4" i="2"/>
  <c r="I5" i="2"/>
  <c r="I6" i="2"/>
  <c r="I7" i="2"/>
  <c r="J60" i="3" l="1"/>
  <c r="R3" i="5"/>
  <c r="G14" i="5"/>
  <c r="G17" i="5" s="1"/>
  <c r="H14" i="5"/>
  <c r="E17" i="5"/>
  <c r="F14" i="5"/>
  <c r="F17" i="5" s="1"/>
  <c r="M14" i="2"/>
  <c r="N14" i="2"/>
  <c r="O14" i="2"/>
  <c r="R14" i="5" l="1"/>
  <c r="C31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2C0C25F-62A1-409C-AC0F-A659029889D8}" keepAlive="1" name="Query - Table1" description="Connection to the 'Table1' query in the workbook." type="5" refreshedVersion="6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<sst xmlns="http://schemas.openxmlformats.org/spreadsheetml/2006/main" count="3314" uniqueCount="336">
  <si>
    <t>ID</t>
  </si>
  <si>
    <t>Benefit</t>
  </si>
  <si>
    <t>CAPEX</t>
  </si>
  <si>
    <t>BenefitPerYr</t>
  </si>
  <si>
    <t>Yr1</t>
  </si>
  <si>
    <t>Yr2</t>
  </si>
  <si>
    <t>Yr3</t>
  </si>
  <si>
    <t>Yr4</t>
  </si>
  <si>
    <t>CheckSum</t>
  </si>
  <si>
    <t>Linearlized Funct</t>
  </si>
  <si>
    <t>Discount Factor</t>
  </si>
  <si>
    <t>Year</t>
  </si>
  <si>
    <t>Select?</t>
  </si>
  <si>
    <t>Min</t>
  </si>
  <si>
    <t>Mode</t>
  </si>
  <si>
    <t>Max</t>
  </si>
  <si>
    <t>alpha</t>
  </si>
  <si>
    <t>beta</t>
  </si>
  <si>
    <t>BETAPERT</t>
  </si>
  <si>
    <t>Mean</t>
  </si>
  <si>
    <t>Deterministic</t>
  </si>
  <si>
    <t>Uncertainty For CAPEX</t>
  </si>
  <si>
    <t>Uncertainty For Benefits</t>
  </si>
  <si>
    <t>"Risked" CAPEX</t>
  </si>
  <si>
    <t>Risked Benefit/Yr</t>
  </si>
  <si>
    <t>Stochastic Sum</t>
  </si>
  <si>
    <t>Iteration</t>
  </si>
  <si>
    <t>NPV</t>
  </si>
  <si>
    <t>P10</t>
  </si>
  <si>
    <t>Median</t>
  </si>
  <si>
    <t>P90</t>
  </si>
  <si>
    <t>Ave</t>
  </si>
  <si>
    <t>Iterations</t>
  </si>
  <si>
    <t>PER ITERATION</t>
  </si>
  <si>
    <t xml:space="preserve">NPV * Select </t>
  </si>
  <si>
    <t>Select ?</t>
  </si>
  <si>
    <t>CAPEX Yr1</t>
  </si>
  <si>
    <t>CAPEX Yr2</t>
  </si>
  <si>
    <t>CAPEX Yr3</t>
  </si>
  <si>
    <t>Variable</t>
  </si>
  <si>
    <t>Project1</t>
  </si>
  <si>
    <t>Project2</t>
  </si>
  <si>
    <t>Project3</t>
  </si>
  <si>
    <t>Project4</t>
  </si>
  <si>
    <t>Project5</t>
  </si>
  <si>
    <t>Project6</t>
  </si>
  <si>
    <t>Project7</t>
  </si>
  <si>
    <t>Project8</t>
  </si>
  <si>
    <t>Project9</t>
  </si>
  <si>
    <t>Project10</t>
  </si>
  <si>
    <t>Value</t>
  </si>
  <si>
    <t>Row Labels</t>
  </si>
  <si>
    <t>Column Labels</t>
  </si>
  <si>
    <t>Average of Value</t>
  </si>
  <si>
    <t>(All)</t>
  </si>
  <si>
    <t>Impl Yr</t>
  </si>
  <si>
    <t>Config</t>
  </si>
  <si>
    <t>Count of Iteration</t>
  </si>
  <si>
    <t>No</t>
  </si>
  <si>
    <t>Yr Selected</t>
  </si>
  <si>
    <t>XL Risk</t>
  </si>
  <si>
    <t>Corr</t>
  </si>
  <si>
    <t>UnCorr</t>
  </si>
  <si>
    <t>CAPEX * Select</t>
  </si>
  <si>
    <t>Piping</t>
  </si>
  <si>
    <t>Facility J</t>
  </si>
  <si>
    <t>Zone4</t>
  </si>
  <si>
    <t>AssetIntegrity</t>
  </si>
  <si>
    <t>Instrumentation</t>
  </si>
  <si>
    <t>Facility F</t>
  </si>
  <si>
    <t>Zone1</t>
  </si>
  <si>
    <t>Mechanical</t>
  </si>
  <si>
    <t>Facility C</t>
  </si>
  <si>
    <t>Zone3</t>
  </si>
  <si>
    <t>Debottlenecking</t>
  </si>
  <si>
    <t>Facility D</t>
  </si>
  <si>
    <t>Growth</t>
  </si>
  <si>
    <t>Expansion</t>
  </si>
  <si>
    <t>Revamp</t>
  </si>
  <si>
    <t>Facility E</t>
  </si>
  <si>
    <t>Zone5</t>
  </si>
  <si>
    <t>Facility H</t>
  </si>
  <si>
    <t>Programme</t>
  </si>
  <si>
    <t>Location</t>
  </si>
  <si>
    <t>Region</t>
  </si>
  <si>
    <t>Type</t>
  </si>
  <si>
    <t>Select Y(1)/N(0) ?</t>
  </si>
  <si>
    <t>#</t>
  </si>
  <si>
    <t>NPV : CAPEX Ratio</t>
  </si>
  <si>
    <t xml:space="preserve">Assumptions / Additional Constraints </t>
  </si>
  <si>
    <t xml:space="preserve">Assumptions </t>
  </si>
  <si>
    <t>No spill over of left over CAPEX to future years</t>
  </si>
  <si>
    <t>Project 5 and 10 are mutually exclusive</t>
  </si>
  <si>
    <t>Project 4 and 8 must happen together</t>
  </si>
  <si>
    <t>Revamp Start Yr2</t>
  </si>
  <si>
    <t xml:space="preserve">Revamp Start Yr1 </t>
  </si>
  <si>
    <t>Project 9 can either start Yr 1 or delay to Yr2</t>
  </si>
  <si>
    <t>Execution Year (1/2/3/4+)</t>
  </si>
  <si>
    <t>CheckSum 
(Yr1+2+3+4=1)</t>
  </si>
  <si>
    <t>Benefit * Select?</t>
  </si>
  <si>
    <t>NPV Sum</t>
  </si>
  <si>
    <t>CheckSum (Yr1+2+3+4=1)</t>
  </si>
  <si>
    <t>Sum NPV Benefit (As NonLin Calc With IF(X=1,..)</t>
  </si>
  <si>
    <t>Project 7 is an OPTION only if Project  2 happens</t>
  </si>
  <si>
    <t>Scenario 01</t>
  </si>
  <si>
    <t>Scenario 02</t>
  </si>
  <si>
    <t>Scenario 03</t>
  </si>
  <si>
    <t>Scenario 04</t>
  </si>
  <si>
    <t>Scenario 05</t>
  </si>
  <si>
    <t>OpenSolver</t>
  </si>
  <si>
    <t>SolverStudio</t>
  </si>
  <si>
    <t>XLRisk</t>
  </si>
  <si>
    <t>Frontline Analytic Solver</t>
  </si>
  <si>
    <t>Scenario</t>
  </si>
  <si>
    <t>Description</t>
  </si>
  <si>
    <t>Scenario 04a</t>
  </si>
  <si>
    <t>By Zhijing Eu (zhijingeu@yahoo.com)</t>
  </si>
  <si>
    <t>Simple basic formulation of the problem  with single 'static' decision time window</t>
  </si>
  <si>
    <t xml:space="preserve">Phased CAPEX with yearly constraints </t>
  </si>
  <si>
    <t>As per Scenario 2 but with paired/mutually exclusive/contingent projects and projects with options for start timing</t>
  </si>
  <si>
    <t>Where ALL projects have the flexibility to move start year and aim is to maximise returns in rolling 3yr horizon</t>
  </si>
  <si>
    <t>As per 4 but reformulated as simple LP using 'repeat rows' for same proj reflecting diff start timing</t>
  </si>
  <si>
    <t>As per 04 but incorporating uncertainty in annual returns and CAPEX costs</t>
  </si>
  <si>
    <t xml:space="preserve">As per 05 but solved using a commercial package (Frontline Analytic Solver) </t>
  </si>
  <si>
    <t>Optimizing Capital Budgeting Via Linear Programming Tools</t>
  </si>
  <si>
    <t xml:space="preserve">Free &amp; Open Source Excel addin for performing Monte Carlo simulation. </t>
  </si>
  <si>
    <t>Free &amp; Open Source Excel VBA add-in that extends Excel’s built-in Solver with more powerful solvers</t>
  </si>
  <si>
    <t xml:space="preserve">Commercially Licensed Excel Add In that performs all of the above </t>
  </si>
  <si>
    <t>Yr4++</t>
  </si>
  <si>
    <t xml:space="preserve">896 s </t>
  </si>
  <si>
    <t>Pyomo Bonmin NL</t>
  </si>
  <si>
    <t>225 s</t>
  </si>
  <si>
    <t>Excel Simplex (Using Tabular Formulation Of Problem)</t>
  </si>
  <si>
    <t>7 s</t>
  </si>
  <si>
    <t>Open Solver Bonmin</t>
  </si>
  <si>
    <t>5s x 4 Iterations</t>
  </si>
  <si>
    <t>Excel Solver GRG NL with  IF(X=1,..)</t>
  </si>
  <si>
    <t>Organisation is cash tight so it wants to maximise returns over rolling 3 yr lookahead</t>
  </si>
  <si>
    <t>CAPEX spend can be in Years 1, 2 ,3 or Beyond but will always be completed within the SAME SINGLE year</t>
  </si>
  <si>
    <t>Benefits start in same year that CAPEX is spend and is measured ONLY FOR THE NEAR TERM 3 YR LOOKAHEAD</t>
  </si>
  <si>
    <t>Excel Solver Simplex (with Linearized Formula)</t>
  </si>
  <si>
    <t>10s</t>
  </si>
  <si>
    <t>Open Solver CBC (with Linearized Formula)</t>
  </si>
  <si>
    <t>Proj1</t>
  </si>
  <si>
    <t>Proj2</t>
  </si>
  <si>
    <t>Proj3</t>
  </si>
  <si>
    <t>Proj4</t>
  </si>
  <si>
    <t>Proj5</t>
  </si>
  <si>
    <t>Proj6</t>
  </si>
  <si>
    <t>Proj7</t>
  </si>
  <si>
    <t>Proj8</t>
  </si>
  <si>
    <t>Proj9a</t>
  </si>
  <si>
    <t>Proj9b</t>
  </si>
  <si>
    <t>Proj10</t>
  </si>
  <si>
    <t>Proj9</t>
  </si>
  <si>
    <t>AnalyticSolverExpVal Sum</t>
  </si>
  <si>
    <t>Assumptions</t>
  </si>
  <si>
    <t>Conditions IDENTICAL to Scenario 5</t>
  </si>
  <si>
    <t>Conditions IDENTICAL to Scenario 6 but with additional features of:-</t>
  </si>
  <si>
    <t>Strong Postive Correlation Between Projects 1 - 5 for CAPEX uncertainty</t>
  </si>
  <si>
    <t>Selected Year For Optimum Solution</t>
  </si>
  <si>
    <t>Correlations</t>
  </si>
  <si>
    <t>$Q$7</t>
  </si>
  <si>
    <t>$Q$6</t>
  </si>
  <si>
    <t>$Q$5</t>
  </si>
  <si>
    <t>$Q$4</t>
  </si>
  <si>
    <t>$Q$3</t>
  </si>
  <si>
    <t>$Z$8</t>
  </si>
  <si>
    <t>$Z$7</t>
  </si>
  <si>
    <t>CAPEX Constraints</t>
  </si>
  <si>
    <t>Project 7 is an OPTION only if Project  2 is completed</t>
  </si>
  <si>
    <t xml:space="preserve">Project 4 and 8 must happen in the SAME year </t>
  </si>
  <si>
    <t>Project 5 and 10 are mutually exclusive - Cannot happen in same year</t>
  </si>
  <si>
    <t>&lt;-From PulP Model Solving On 1000 Iterative Loops - 8min 47s</t>
  </si>
  <si>
    <t>$G$18</t>
  </si>
  <si>
    <t>$F$18</t>
  </si>
  <si>
    <t>Strong Negative Correlation Between Projects 5 &amp; 6 for Benefit/Yr Uncertainty</t>
  </si>
  <si>
    <t>YrlyCAPEX</t>
  </si>
  <si>
    <t>AnalyticSolver Expected Val For YrlyCAPEX</t>
  </si>
  <si>
    <t>AnalyticSolver Expected Val For CAPEX Constraints</t>
  </si>
  <si>
    <t>Yr2 Uncertainty Range</t>
  </si>
  <si>
    <t>Yr 3 Uncertainty Range</t>
  </si>
  <si>
    <t>CAPEX constraints for Y1 is firm but Yr2/3 are uncertain and the uncertainty in both years 2 / 3 are medium +ve correlated</t>
  </si>
  <si>
    <t>3311224124</t>
  </si>
  <si>
    <t>Analytic Solver Expected Value Sum</t>
  </si>
  <si>
    <t>Scenario 06b</t>
  </si>
  <si>
    <t>Scenario 06a</t>
  </si>
  <si>
    <t>Python - PulP</t>
  </si>
  <si>
    <t>Python - Pyomo</t>
  </si>
  <si>
    <t xml:space="preserve">Useful Links For Optimisation Tools </t>
  </si>
  <si>
    <t>Python-based, open-source optimization modeling language for Linear Programming</t>
  </si>
  <si>
    <t>Microsoft Excel16.0 Simulation Report</t>
  </si>
  <si>
    <t>General Simulation Information</t>
  </si>
  <si>
    <t>Simulation Options</t>
  </si>
  <si>
    <t>Simulations Run</t>
  </si>
  <si>
    <t>Trials per Simulation</t>
  </si>
  <si>
    <t>Number of Error Trials</t>
  </si>
  <si>
    <t>Current Simulation</t>
  </si>
  <si>
    <t>Random Number Generator</t>
  </si>
  <si>
    <t>CMRG</t>
  </si>
  <si>
    <t>Sampling Method</t>
  </si>
  <si>
    <t>Latin Hypercube</t>
  </si>
  <si>
    <t>Random Number Stream</t>
  </si>
  <si>
    <t>Single Stream</t>
  </si>
  <si>
    <t>Simulation Seed</t>
  </si>
  <si>
    <t>Interpreter Used</t>
  </si>
  <si>
    <t>Automatic</t>
  </si>
  <si>
    <t>Correlations Used</t>
  </si>
  <si>
    <t>Model Information</t>
  </si>
  <si>
    <t>Quantity</t>
  </si>
  <si>
    <t>Uncertain Variables</t>
  </si>
  <si>
    <t>Uncertain Functions</t>
  </si>
  <si>
    <t>Correlated Variables</t>
  </si>
  <si>
    <t>Global Bounds</t>
  </si>
  <si>
    <t>Measure</t>
  </si>
  <si>
    <t>Lower Cutoff</t>
  </si>
  <si>
    <t>None</t>
  </si>
  <si>
    <t>Upper Cutoff</t>
  </si>
  <si>
    <t>Lower Censor</t>
  </si>
  <si>
    <t>Upper Censor</t>
  </si>
  <si>
    <t>Uncertain Variable Summary Information</t>
  </si>
  <si>
    <t>Cell</t>
  </si>
  <si>
    <t>Name</t>
  </si>
  <si>
    <t>Distribution</t>
  </si>
  <si>
    <t>Std Dev</t>
  </si>
  <si>
    <t>Minimum</t>
  </si>
  <si>
    <t>Maximum</t>
  </si>
  <si>
    <t>25th Percentile</t>
  </si>
  <si>
    <t>50th Percentile</t>
  </si>
  <si>
    <t>75th Percentile</t>
  </si>
  <si>
    <t>PsiPert(K3,L3,M3)</t>
  </si>
  <si>
    <t>PsiPert(K4,L4,M4)</t>
  </si>
  <si>
    <t>PsiPert(K5,L5,M5)</t>
  </si>
  <si>
    <t>PsiPert(K6,L6,M6)</t>
  </si>
  <si>
    <t>PsiPert(K7,L7,M7)</t>
  </si>
  <si>
    <t>PsiPert(K8,L8,M8)</t>
  </si>
  <si>
    <t>PsiPert(K9,L9,M9)</t>
  </si>
  <si>
    <t>PsiPert(K10,L10,M10)</t>
  </si>
  <si>
    <t>PsiPert(K11,L11,M11)</t>
  </si>
  <si>
    <t>PsiPert(K12,L12,M12)</t>
  </si>
  <si>
    <t>PsiPert(E28,F28,G28, PsiCorrMatrix($AG$37:$AH$38, 1, "CorrMatrixForCAPEXThresholdYr2and3"))*30 + PsiOutput()</t>
  </si>
  <si>
    <t>PsiPert(E29,F29,G29, PsiCorrMatrix($AG$37:$AH$38, 2, "CorrMatrixForCAPEXThresholdYr2and3"))*25 + PsiOutput()</t>
  </si>
  <si>
    <t>Proj1 BETAPERT</t>
  </si>
  <si>
    <t>PsiPert(K3,L3,M3, PsiCorrMatrix($AG$26:$AK$30, 1, "CorrMartrixForCAPEXUncertaintyProj1To5"))</t>
  </si>
  <si>
    <t>Proj2 BETAPERT</t>
  </si>
  <si>
    <t>PsiPert(K4,L4,M4, PsiCorrMatrix($AG$26:$AK$30, 2, "CorrMartrixForCAPEXUncertaintyProj1To5"))</t>
  </si>
  <si>
    <t>Proj3 BETAPERT</t>
  </si>
  <si>
    <t>PsiPert(K5,L5,M5, PsiCorrMatrix($AG$26:$AK$30, 3, "CorrMartrixForCAPEXUncertaintyProj1To5"))</t>
  </si>
  <si>
    <t>Proj4 BETAPERT</t>
  </si>
  <si>
    <t>PsiPert(K6,L6,M6, PsiCorrMatrix($AG$26:$AK$30, 4, "CorrMartrixForCAPEXUncertaintyProj1To5"))</t>
  </si>
  <si>
    <t>Proj5 BETAPERT</t>
  </si>
  <si>
    <t>PsiPert(K7,L7,M7, PsiCorrMatrix($AG$26:$AK$30, 5, "CorrMartrixForCAPEXUncertaintyProj1To5"))</t>
  </si>
  <si>
    <t>$Q$8</t>
  </si>
  <si>
    <t>Proj6 BETAPERT</t>
  </si>
  <si>
    <t>$Q$9</t>
  </si>
  <si>
    <t>Proj7 BETAPERT</t>
  </si>
  <si>
    <t>$Q$10</t>
  </si>
  <si>
    <t>Proj8 BETAPERT</t>
  </si>
  <si>
    <t>$Q$11</t>
  </si>
  <si>
    <t>Proj9 BETAPERT</t>
  </si>
  <si>
    <t>$Q$12</t>
  </si>
  <si>
    <t>Proj10 BETAPERT</t>
  </si>
  <si>
    <t>$Z$3</t>
  </si>
  <si>
    <t>$Z$4</t>
  </si>
  <si>
    <t>$Z$5</t>
  </si>
  <si>
    <t>$Z$6</t>
  </si>
  <si>
    <t>PsiPert(K7,L7,M7, PsiCorrMatrix($AG$33:$AH$34, 1, "CorrMatrixBenefitPerYrProj5and6"))</t>
  </si>
  <si>
    <t>PsiPert(K8,L8,M8, PsiCorrMatrix($AG$33:$AH$34, 2, "CorrMatrixBenefitPerYrProj5and6"))</t>
  </si>
  <si>
    <t>$Z$9</t>
  </si>
  <si>
    <t>$Z$10</t>
  </si>
  <si>
    <t>$Z$11</t>
  </si>
  <si>
    <t>$Z$12</t>
  </si>
  <si>
    <t>Uncertain Function Summary Information</t>
  </si>
  <si>
    <t>Formula</t>
  </si>
  <si>
    <t>SUMPRODUCT($C$3:$C$12,Q3:Q12,E3:E12) + PsiOutput()</t>
  </si>
  <si>
    <t>SUMPRODUCT($C$3:$C$12,Q3:Q12,F3:F12) + PsiOutput()</t>
  </si>
  <si>
    <t>SUMPRODUCT($C$3:$C$12,Q3:Q12,G3:G12) + PsiOutput()</t>
  </si>
  <si>
    <t>SUM(AD3:AD12) + PsiOutput()</t>
  </si>
  <si>
    <t>$E$14</t>
  </si>
  <si>
    <t>$F$14</t>
  </si>
  <si>
    <t>$G$14</t>
  </si>
  <si>
    <t>$AD$14</t>
  </si>
  <si>
    <t>Discount Factor Linearlized Funct</t>
  </si>
  <si>
    <t>&lt;-From Frontline Analytic Solver  - 24.67 secs for 1000 Trials</t>
  </si>
  <si>
    <t>Simulation Report [Capital_Budgeting_Optimisation_v02.xlsm]Scenario_06a_Stochastic w FL_AS</t>
  </si>
  <si>
    <t>Report Created: 9/4/2020 4:02:26 PM</t>
  </si>
  <si>
    <t>Simulation time: 3.391 seconds.</t>
  </si>
  <si>
    <t>Scenario_06b_Stochastic w FL AS'!$F$18</t>
  </si>
  <si>
    <t>Scenario_06b_Stochastic w FL AS'!$G$18</t>
  </si>
  <si>
    <t>Scenario_06b_Stochastic w FL AS'!$Q$3</t>
  </si>
  <si>
    <t>Scenario_06b_Stochastic w FL AS'!$Q$4</t>
  </si>
  <si>
    <t>Scenario_06b_Stochastic w FL AS'!$Q$5</t>
  </si>
  <si>
    <t>Scenario_06b_Stochastic w FL AS'!$Q$6</t>
  </si>
  <si>
    <t>Scenario_06b_Stochastic w FL AS'!$Q$7</t>
  </si>
  <si>
    <t>Scenario_06b_Stochastic w FL AS'!$Q$8</t>
  </si>
  <si>
    <t>Scenario_06b_Stochastic w FL AS'!$Q$9</t>
  </si>
  <si>
    <t>Scenario_06b_Stochastic w FL AS'!$Q$10</t>
  </si>
  <si>
    <t>Scenario_06b_Stochastic w FL AS'!$Q$11</t>
  </si>
  <si>
    <t>Scenario_06b_Stochastic w FL AS'!$Q$12</t>
  </si>
  <si>
    <t>Scenario_06b_Stochastic w FL AS'!$Z$3</t>
  </si>
  <si>
    <t>Scenario_06b_Stochastic w FL AS'!$Z$4</t>
  </si>
  <si>
    <t>Scenario_06b_Stochastic w FL AS'!$Z$5</t>
  </si>
  <si>
    <t>Scenario_06b_Stochastic w FL AS'!$Z$6</t>
  </si>
  <si>
    <t>Scenario_06b_Stochastic w FL AS'!$Z$7</t>
  </si>
  <si>
    <t>Scenario_06b_Stochastic w FL AS'!$Z$8</t>
  </si>
  <si>
    <t>Scenario_06b_Stochastic w FL AS'!$Z$9</t>
  </si>
  <si>
    <t>Scenario_06b_Stochastic w FL AS'!$Z$10</t>
  </si>
  <si>
    <t>Scenario_06b_Stochastic w FL AS'!$Z$11</t>
  </si>
  <si>
    <t>Scenario_06b_Stochastic w FL AS'!$Z$12</t>
  </si>
  <si>
    <t>Deterministic Yr1</t>
  </si>
  <si>
    <t>Deterministic Yr2</t>
  </si>
  <si>
    <t>Deterministic Yr3</t>
  </si>
  <si>
    <t>Scenario_06b_Stochastic w FL AS'!$E$14</t>
  </si>
  <si>
    <t>Scenario_06b_Stochastic w FL AS'!$F$14</t>
  </si>
  <si>
    <t>Scenario_06b_Stochastic w FL AS'!$G$14</t>
  </si>
  <si>
    <t>Scenario_06b_Stochastic w FL AS'!$AD$14</t>
  </si>
  <si>
    <t>As per 06 but with additional constraints (paired/mutually exclusive projects) , uncertainty in threshold values and  correlations (You will need FL Analytic Solver To View Model)</t>
  </si>
  <si>
    <t>Video Walkthrough</t>
  </si>
  <si>
    <t>Introduction</t>
  </si>
  <si>
    <t>Conclusion</t>
  </si>
  <si>
    <t>https://youtu.be/p3QF50FmoJA?t=10m23s</t>
  </si>
  <si>
    <t>https://youtu.be/p3QF50FmoJA?t=18m15s</t>
  </si>
  <si>
    <t>https://youtu.be/DzEQ0K6dpUs</t>
  </si>
  <si>
    <t>https://youtu.be/9mUhmCTMJQw</t>
  </si>
  <si>
    <t>https://youtu.be/bvjbLbRm_yo</t>
  </si>
  <si>
    <t>https://youtu.be/fQ_x3bCDMmk</t>
  </si>
  <si>
    <t>https://youtu.be/p3QF50FmoJA</t>
  </si>
  <si>
    <t>Free &amp; Open Source Excel addin to  build and solve optimisation models in Excel in Python PuLP/Pyomo, GAMS, etc)</t>
  </si>
  <si>
    <t>https://youtu.be/Zknu2_ffqqw</t>
  </si>
  <si>
    <t>https://youtu.be/O_Is6lEov0Y</t>
  </si>
  <si>
    <t>https://youtu.be/O_Is6lEov0Y?t=1m41s</t>
  </si>
  <si>
    <t>https://youtu.be/fQ_x3bCDMmk?t=6m56s</t>
  </si>
  <si>
    <t xml:space="preserve">Python-based, open-source optimization modeling language for LP , Non LP and Stochastic Programming </t>
  </si>
  <si>
    <t>https://youtu.be/Zknu2_ffqqw?t=4m19s</t>
  </si>
  <si>
    <t>https://youtu.be/ZIXZaWMvA6s?t=2m31s</t>
  </si>
  <si>
    <t>Total Benefit/Yr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</si>
</sst>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ourier New"/>
      <family val="3"/>
    </font>
    <font>
      <b/>
      <u/>
      <sz val="11"/>
      <color theme="1"/>
      <name val="Calibri"/>
      <family val="2"/>
      <scheme val="minor"/>
    </font>
    <font>
      <b/>
      <sz val="11"/>
      <color indexed="18"/>
      <name val="Calibri"/>
      <family val="2"/>
      <scheme val="minor"/>
    </font>
    <font>
      <u/>
      <sz val="2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/>
      <right/>
      <top style="thin">
        <color indexed="23"/>
      </top>
      <bottom style="medium">
        <color indexed="2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109">
    <xf numFmtId="0" fontId="0" fillId="0" borderId="0" xfId="0"/>
    <xf numFmtId="0" fontId="0" fillId="0" borderId="0" xfId="0" applyFill="1" applyBorder="1"/>
    <xf numFmtId="0" fontId="0" fillId="0" borderId="1" xfId="0" applyBorder="1"/>
    <xf numFmtId="0" fontId="0" fillId="0" borderId="1" xfId="0" applyFill="1" applyBorder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2" fontId="3" fillId="0" borderId="0" xfId="0" applyNumberFormat="1" applyFont="1" applyAlignment="1">
      <alignment horizontal="center"/>
    </xf>
    <xf numFmtId="9" fontId="0" fillId="0" borderId="0" xfId="1" applyFont="1" applyAlignment="1">
      <alignment horizontal="left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left"/>
    </xf>
    <xf numFmtId="0" fontId="5" fillId="0" borderId="0" xfId="2"/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right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164" fontId="0" fillId="0" borderId="1" xfId="0" applyNumberFormat="1" applyBorder="1"/>
    <xf numFmtId="0" fontId="0" fillId="0" borderId="1" xfId="0" applyFill="1" applyBorder="1" applyAlignment="1">
      <alignment horizontal="center"/>
    </xf>
    <xf numFmtId="0" fontId="0" fillId="0" borderId="0" xfId="0" pivotButton="1"/>
    <xf numFmtId="0" fontId="0" fillId="0" borderId="0" xfId="0" applyNumberFormat="1"/>
    <xf numFmtId="9" fontId="0" fillId="0" borderId="0" xfId="1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2" fontId="0" fillId="0" borderId="1" xfId="0" applyNumberFormat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6" borderId="0" xfId="0" applyFill="1" applyAlignment="1">
      <alignment horizontal="left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 wrapText="1"/>
    </xf>
    <xf numFmtId="164" fontId="2" fillId="0" borderId="0" xfId="0" applyNumberFormat="1" applyFont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left" wrapText="1"/>
    </xf>
    <xf numFmtId="0" fontId="0" fillId="7" borderId="1" xfId="0" applyFill="1" applyBorder="1" applyAlignment="1">
      <alignment horizontal="center"/>
    </xf>
    <xf numFmtId="0" fontId="0" fillId="7" borderId="1" xfId="0" applyFill="1" applyBorder="1" applyAlignment="1">
      <alignment horizontal="left"/>
    </xf>
    <xf numFmtId="0" fontId="0" fillId="7" borderId="0" xfId="0" applyFill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ill="1" applyBorder="1" applyAlignment="1">
      <alignment horizontal="center"/>
    </xf>
    <xf numFmtId="0" fontId="8" fillId="0" borderId="0" xfId="0" applyFont="1" applyAlignment="1">
      <alignment horizontal="left"/>
    </xf>
    <xf numFmtId="0" fontId="0" fillId="8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0" borderId="0" xfId="0" applyAlignment="1">
      <alignment horizontal="left" indent="1"/>
    </xf>
    <xf numFmtId="0" fontId="0" fillId="3" borderId="0" xfId="0" applyFill="1" applyAlignment="1">
      <alignment horizontal="left" indent="1"/>
    </xf>
    <xf numFmtId="0" fontId="0" fillId="6" borderId="0" xfId="0" applyFill="1" applyAlignment="1">
      <alignment horizontal="left" indent="1"/>
    </xf>
    <xf numFmtId="0" fontId="0" fillId="9" borderId="0" xfId="0" applyFill="1" applyAlignment="1">
      <alignment horizontal="left" indent="1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right"/>
    </xf>
    <xf numFmtId="9" fontId="0" fillId="0" borderId="6" xfId="1" applyFont="1" applyBorder="1" applyAlignment="1">
      <alignment horizontal="left"/>
    </xf>
    <xf numFmtId="0" fontId="2" fillId="0" borderId="0" xfId="0" applyFont="1"/>
    <xf numFmtId="0" fontId="0" fillId="0" borderId="10" xfId="0" applyFill="1" applyBorder="1" applyAlignment="1"/>
    <xf numFmtId="0" fontId="0" fillId="0" borderId="11" xfId="0" applyFill="1" applyBorder="1" applyAlignment="1"/>
    <xf numFmtId="0" fontId="9" fillId="0" borderId="9" xfId="0" applyFont="1" applyFill="1" applyBorder="1" applyAlignment="1">
      <alignment horizontal="center"/>
    </xf>
    <xf numFmtId="0" fontId="9" fillId="0" borderId="7" xfId="0" applyFont="1" applyFill="1" applyBorder="1" applyAlignment="1">
      <alignment horizontal="center"/>
    </xf>
    <xf numFmtId="0" fontId="9" fillId="0" borderId="8" xfId="0" applyFont="1" applyFill="1" applyBorder="1" applyAlignment="1">
      <alignment horizontal="center"/>
    </xf>
    <xf numFmtId="0" fontId="0" fillId="0" borderId="10" xfId="0" quotePrefix="1" applyFill="1" applyBorder="1" applyAlignment="1"/>
    <xf numFmtId="0" fontId="0" fillId="0" borderId="11" xfId="0" quotePrefix="1" applyFill="1" applyBorder="1" applyAlignment="1"/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0" fillId="0" borderId="13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0" xfId="0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0" xfId="0" applyAlignment="1">
      <alignment horizontal="left" vertical="top"/>
    </xf>
    <xf numFmtId="17" fontId="0" fillId="0" borderId="0" xfId="0" applyNumberFormat="1" applyAlignment="1">
      <alignment horizontal="left" vertical="top"/>
    </xf>
    <xf numFmtId="0" fontId="5" fillId="0" borderId="12" xfId="2" applyBorder="1" applyAlignment="1">
      <alignment vertical="top"/>
    </xf>
    <xf numFmtId="0" fontId="5" fillId="0" borderId="15" xfId="2" applyBorder="1" applyAlignment="1">
      <alignment vertical="top"/>
    </xf>
    <xf numFmtId="0" fontId="6" fillId="0" borderId="0" xfId="0" applyFont="1" applyAlignment="1">
      <alignment vertical="top"/>
    </xf>
    <xf numFmtId="0" fontId="0" fillId="0" borderId="18" xfId="0" applyBorder="1" applyAlignment="1">
      <alignment vertical="top"/>
    </xf>
    <xf numFmtId="0" fontId="0" fillId="0" borderId="19" xfId="0" applyBorder="1" applyAlignment="1">
      <alignment vertical="top"/>
    </xf>
    <xf numFmtId="0" fontId="5" fillId="0" borderId="21" xfId="2" applyBorder="1" applyAlignment="1">
      <alignment vertical="top"/>
    </xf>
    <xf numFmtId="0" fontId="5" fillId="0" borderId="23" xfId="2" applyBorder="1" applyAlignment="1">
      <alignment vertical="top"/>
    </xf>
    <xf numFmtId="0" fontId="5" fillId="0" borderId="24" xfId="2" applyBorder="1" applyAlignment="1">
      <alignment vertical="top"/>
    </xf>
    <xf numFmtId="0" fontId="5" fillId="0" borderId="22" xfId="2" applyBorder="1" applyAlignment="1">
      <alignment vertical="top"/>
    </xf>
    <xf numFmtId="17" fontId="0" fillId="5" borderId="18" xfId="0" applyNumberFormat="1" applyFill="1" applyBorder="1" applyAlignment="1">
      <alignment horizontal="left" vertical="top"/>
    </xf>
    <xf numFmtId="0" fontId="0" fillId="5" borderId="19" xfId="0" applyFill="1" applyBorder="1" applyAlignment="1">
      <alignment vertical="top" wrapText="1"/>
    </xf>
    <xf numFmtId="0" fontId="5" fillId="5" borderId="20" xfId="2" applyFill="1" applyBorder="1" applyAlignment="1">
      <alignment vertical="top"/>
    </xf>
    <xf numFmtId="0" fontId="5" fillId="10" borderId="12" xfId="2" applyFill="1" applyBorder="1" applyAlignment="1">
      <alignment vertical="top"/>
    </xf>
    <xf numFmtId="0" fontId="0" fillId="10" borderId="13" xfId="0" applyFill="1" applyBorder="1" applyAlignment="1">
      <alignment vertical="top" wrapText="1"/>
    </xf>
    <xf numFmtId="0" fontId="5" fillId="10" borderId="15" xfId="2" applyFill="1" applyBorder="1" applyAlignment="1">
      <alignment vertical="top"/>
    </xf>
    <xf numFmtId="0" fontId="0" fillId="10" borderId="16" xfId="0" applyFill="1" applyBorder="1" applyAlignment="1">
      <alignment vertical="top" wrapText="1"/>
    </xf>
    <xf numFmtId="0" fontId="5" fillId="5" borderId="18" xfId="2" applyFill="1" applyBorder="1" applyAlignment="1">
      <alignment vertical="top"/>
    </xf>
    <xf numFmtId="0" fontId="5" fillId="11" borderId="12" xfId="2" applyFill="1" applyBorder="1" applyAlignment="1">
      <alignment vertical="top"/>
    </xf>
    <xf numFmtId="0" fontId="0" fillId="11" borderId="13" xfId="0" applyFill="1" applyBorder="1" applyAlignment="1">
      <alignment vertical="top" wrapText="1"/>
    </xf>
    <xf numFmtId="0" fontId="5" fillId="11" borderId="15" xfId="2" applyFill="1" applyBorder="1" applyAlignment="1">
      <alignment vertical="top"/>
    </xf>
    <xf numFmtId="0" fontId="0" fillId="11" borderId="16" xfId="0" applyFill="1" applyBorder="1" applyAlignment="1">
      <alignment vertical="top" wrapText="1"/>
    </xf>
    <xf numFmtId="0" fontId="5" fillId="12" borderId="12" xfId="2" applyFill="1" applyBorder="1" applyAlignment="1">
      <alignment vertical="top"/>
    </xf>
    <xf numFmtId="0" fontId="0" fillId="12" borderId="13" xfId="0" applyFill="1" applyBorder="1" applyAlignment="1">
      <alignment vertical="top" wrapText="1"/>
    </xf>
    <xf numFmtId="0" fontId="5" fillId="12" borderId="15" xfId="2" applyFill="1" applyBorder="1" applyAlignment="1">
      <alignment vertical="top"/>
    </xf>
    <xf numFmtId="0" fontId="0" fillId="12" borderId="16" xfId="0" applyFill="1" applyBorder="1" applyAlignment="1">
      <alignment vertical="top" wrapText="1"/>
    </xf>
    <xf numFmtId="0" fontId="0" fillId="5" borderId="18" xfId="0" applyFill="1" applyBorder="1" applyAlignment="1">
      <alignment vertical="top"/>
    </xf>
    <xf numFmtId="0" fontId="10" fillId="0" borderId="0" xfId="0" applyFont="1" applyAlignment="1">
      <alignment vertical="top"/>
    </xf>
    <xf numFmtId="0" fontId="5" fillId="10" borderId="14" xfId="2" applyFill="1" applyBorder="1" applyAlignment="1">
      <alignment vertical="center" wrapText="1"/>
    </xf>
    <xf numFmtId="0" fontId="0" fillId="10" borderId="17" xfId="0" applyFill="1" applyBorder="1" applyAlignment="1">
      <alignment vertical="center" wrapText="1"/>
    </xf>
    <xf numFmtId="0" fontId="5" fillId="11" borderId="14" xfId="2" applyFill="1" applyBorder="1" applyAlignment="1">
      <alignment horizontal="left" vertical="center" wrapText="1"/>
    </xf>
    <xf numFmtId="0" fontId="0" fillId="11" borderId="17" xfId="0" applyFill="1" applyBorder="1" applyAlignment="1">
      <alignment horizontal="left" vertical="center" wrapText="1"/>
    </xf>
    <xf numFmtId="0" fontId="5" fillId="12" borderId="14" xfId="2" applyFill="1" applyBorder="1" applyAlignment="1">
      <alignment horizontal="left" vertical="center" wrapText="1"/>
    </xf>
    <xf numFmtId="0" fontId="0" fillId="12" borderId="17" xfId="0" applyFill="1" applyBorder="1" applyAlignment="1">
      <alignment horizontal="left" vertical="center" wrapText="1"/>
    </xf>
  </cellXfs>
  <cellStyles count="3">
    <cellStyle name="Hyperlink" xfId="2" builtinId="8"/>
    <cellStyle name="Normal" xfId="0" builtinId="0"/>
    <cellStyle name="Percent" xfId="1" builtinId="5"/>
  </cellStyles>
  <dxfs count="23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numFmt numFmtId="164" formatCode="0.0"/>
    </dxf>
    <dxf>
      <numFmt numFmtId="2" formatCode="0.0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592230</xdr:colOff>
      <xdr:row>38</xdr:row>
      <xdr:rowOff>159242</xdr:rowOff>
    </xdr:from>
    <xdr:to>
      <xdr:col>16</xdr:col>
      <xdr:colOff>593352</xdr:colOff>
      <xdr:row>48</xdr:row>
      <xdr:rowOff>136711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AA4572D-3C69-4362-921B-E40B7FDAD4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51201" y="7420654"/>
          <a:ext cx="4236945" cy="188246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ogramming/Excel/XLRisk/XLRisk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XLRisk"/>
    </sheetNames>
    <definedNames>
      <definedName name="RiskCorrmat"/>
      <definedName name="RiskPert"/>
    </definedNames>
    <sheetDataSet>
      <sheetData sheetId="0"/>
      <sheetData sheetId="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Z" refreshedDate="44077.648074074074" createdVersion="6" refreshedVersion="6" minRefreshableVersion="3" recordCount="1260" xr:uid="{BE069260-116A-4535-BE2A-04614778574D}">
  <cacheSource type="worksheet">
    <worksheetSource ref="A1:D1261" sheet="IterationOutputs"/>
  </cacheSource>
  <cacheFields count="4">
    <cacheField name="Iteration" numFmtId="0">
      <sharedItems containsSemiMixedTypes="0" containsString="0" containsNumber="1" containsInteger="1" minValue="1" maxValue="30" count="3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</sharedItems>
    </cacheField>
    <cacheField name="Value" numFmtId="0">
      <sharedItems containsSemiMixedTypes="0" containsString="0" containsNumber="1" minValue="0" maxValue="3423213232" count="101">
        <n v="1"/>
        <n v="0"/>
        <n v="54.584320555032619"/>
        <n v="55.494594090971944"/>
        <n v="52.178809063399719"/>
        <n v="53.104835494788716"/>
        <n v="51.663911677227695"/>
        <n v="54.907616650433631"/>
        <n v="52.283112526484466"/>
        <n v="52.367725949350003"/>
        <n v="51.586332094885947"/>
        <n v="58.943575110769864"/>
        <n v="53.50351636938494"/>
        <n v="54.159274951147864"/>
        <n v="52.583209774473303"/>
        <n v="51.333264386548151"/>
        <n v="53.805358664757613"/>
        <n v="54.689117768250419"/>
        <n v="53.252105957459939"/>
        <n v="59.203878700048449"/>
        <n v="52.97343184700911"/>
        <n v="49.209672004574344"/>
        <n v="57.223037272893656"/>
        <n v="53.9682324458444"/>
        <n v="53.969248871581293"/>
        <n v="52.784610982219363"/>
        <n v="55.049163395672927"/>
        <n v="53.678480968935915"/>
        <n v="51.900599132509591"/>
        <n v="57.65183495998167"/>
        <n v="54.103246177902825"/>
        <n v="51.20234012876832"/>
        <n v="1311224243"/>
        <n v="2321214423"/>
        <n v="1411323232"/>
        <n v="3323214212"/>
        <n v="2312124233"/>
        <n v="1322214233"/>
        <n v="2413123223"/>
        <n v="3422213213"/>
        <n v="2321214223"/>
        <n v="2312124343"/>
        <n v="2312124323"/>
        <n v="2423213213"/>
        <n v="2412123333"/>
        <n v="1322214123"/>
        <n v="2322214133"/>
        <n v="2414323211"/>
        <n v="3321214232"/>
        <n v="2313124232"/>
        <n v="3322214321"/>
        <n v="1413223113"/>
        <n v="1311224233"/>
        <n v="3423213232"/>
        <n v="3422213233" u="1"/>
        <n v="57.277386650819331" u="1"/>
        <n v="54.538906399854021" u="1"/>
        <n v="51.996627910440189" u="1"/>
        <n v="52.966812101476727" u="1"/>
        <n v="2321214233" u="1"/>
        <n v="3323214112" u="1"/>
        <n v="54.961592285219638" u="1"/>
        <n v="53.54376836954269" u="1"/>
        <n v="2322214313" u="1"/>
        <n v="50.262694919209515" u="1"/>
        <n v="56.536599895363132" u="1"/>
        <n v="56.585231167059455" u="1"/>
        <n v="2423213123" u="1"/>
        <n v="2412323131" u="1"/>
        <n v="53.989971801712443" u="1"/>
        <n v="55.089241249111126" u="1"/>
        <n v="2423213233" u="1"/>
        <n v="53.071809478277743" u="1"/>
        <n v="2321214323" u="1"/>
        <n v="1322214323" u="1"/>
        <n v="54.023755784750563" u="1"/>
        <n v="53.873516351593949" u="1"/>
        <n v="54.438780789250266" u="1"/>
        <n v="50.849997480766284" u="1"/>
        <n v="3321214322" u="1"/>
        <n v="3412123223" u="1"/>
        <n v="57.552717129574496" u="1"/>
        <n v="53.584677109856777" u="1"/>
        <n v="57.302951796768689" u="1"/>
        <n v="55.049740767641701" u="1"/>
        <n v="2312124423" u="1"/>
        <n v="54.758159008132907" u="1"/>
        <n v="50.909935048687693" u="1"/>
        <n v="2312324121" u="1"/>
        <n v="52.723616327846145" u="1"/>
        <n v="50.249372883375131" u="1"/>
        <n v="3411223313" u="1"/>
        <n v="2322213114" u="1"/>
        <n v="2322214113" u="1"/>
        <n v="54.17830116206737" u="1"/>
        <n v="52.033622479975818" u="1"/>
        <n v="3422213243" u="1"/>
        <n v="58.182170766587532" u="1"/>
        <n v="55.043221569492438" u="1"/>
        <n v="55.11737521186226" u="1"/>
        <n v="52.012904085348971" u="1"/>
      </sharedItems>
    </cacheField>
    <cacheField name="Variable" numFmtId="0">
      <sharedItems count="12">
        <s v="Project1"/>
        <s v="Project2"/>
        <s v="Project3"/>
        <s v="Project4"/>
        <s v="Project5"/>
        <s v="Project6"/>
        <s v="Project7"/>
        <s v="Project8"/>
        <s v="Project9"/>
        <s v="Project10"/>
        <s v="Benefit"/>
        <s v="Config"/>
      </sharedItems>
    </cacheField>
    <cacheField name="Year" numFmtId="0">
      <sharedItems count="6">
        <s v="Yr1"/>
        <s v="Yr2"/>
        <s v="Yr3"/>
        <s v="Yr4"/>
        <s v="Benefit"/>
        <s v="Config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0">
  <r>
    <x v="0"/>
    <x v="0"/>
    <x v="0"/>
    <x v="0"/>
  </r>
  <r>
    <x v="0"/>
    <x v="1"/>
    <x v="1"/>
    <x v="0"/>
  </r>
  <r>
    <x v="0"/>
    <x v="0"/>
    <x v="2"/>
    <x v="0"/>
  </r>
  <r>
    <x v="0"/>
    <x v="0"/>
    <x v="3"/>
    <x v="0"/>
  </r>
  <r>
    <x v="0"/>
    <x v="1"/>
    <x v="4"/>
    <x v="0"/>
  </r>
  <r>
    <x v="0"/>
    <x v="1"/>
    <x v="5"/>
    <x v="0"/>
  </r>
  <r>
    <x v="0"/>
    <x v="1"/>
    <x v="6"/>
    <x v="0"/>
  </r>
  <r>
    <x v="0"/>
    <x v="1"/>
    <x v="7"/>
    <x v="0"/>
  </r>
  <r>
    <x v="0"/>
    <x v="1"/>
    <x v="8"/>
    <x v="0"/>
  </r>
  <r>
    <x v="0"/>
    <x v="1"/>
    <x v="9"/>
    <x v="0"/>
  </r>
  <r>
    <x v="0"/>
    <x v="1"/>
    <x v="0"/>
    <x v="1"/>
  </r>
  <r>
    <x v="0"/>
    <x v="1"/>
    <x v="1"/>
    <x v="1"/>
  </r>
  <r>
    <x v="0"/>
    <x v="1"/>
    <x v="2"/>
    <x v="1"/>
  </r>
  <r>
    <x v="0"/>
    <x v="1"/>
    <x v="3"/>
    <x v="1"/>
  </r>
  <r>
    <x v="0"/>
    <x v="0"/>
    <x v="4"/>
    <x v="1"/>
  </r>
  <r>
    <x v="0"/>
    <x v="0"/>
    <x v="5"/>
    <x v="1"/>
  </r>
  <r>
    <x v="0"/>
    <x v="1"/>
    <x v="6"/>
    <x v="1"/>
  </r>
  <r>
    <x v="0"/>
    <x v="0"/>
    <x v="7"/>
    <x v="1"/>
  </r>
  <r>
    <x v="0"/>
    <x v="1"/>
    <x v="8"/>
    <x v="1"/>
  </r>
  <r>
    <x v="0"/>
    <x v="1"/>
    <x v="9"/>
    <x v="1"/>
  </r>
  <r>
    <x v="0"/>
    <x v="1"/>
    <x v="0"/>
    <x v="2"/>
  </r>
  <r>
    <x v="0"/>
    <x v="0"/>
    <x v="1"/>
    <x v="2"/>
  </r>
  <r>
    <x v="0"/>
    <x v="1"/>
    <x v="2"/>
    <x v="2"/>
  </r>
  <r>
    <x v="0"/>
    <x v="1"/>
    <x v="3"/>
    <x v="2"/>
  </r>
  <r>
    <x v="0"/>
    <x v="1"/>
    <x v="4"/>
    <x v="2"/>
  </r>
  <r>
    <x v="0"/>
    <x v="1"/>
    <x v="5"/>
    <x v="2"/>
  </r>
  <r>
    <x v="0"/>
    <x v="1"/>
    <x v="6"/>
    <x v="2"/>
  </r>
  <r>
    <x v="0"/>
    <x v="1"/>
    <x v="7"/>
    <x v="2"/>
  </r>
  <r>
    <x v="0"/>
    <x v="1"/>
    <x v="8"/>
    <x v="2"/>
  </r>
  <r>
    <x v="0"/>
    <x v="0"/>
    <x v="9"/>
    <x v="2"/>
  </r>
  <r>
    <x v="0"/>
    <x v="1"/>
    <x v="0"/>
    <x v="3"/>
  </r>
  <r>
    <x v="0"/>
    <x v="1"/>
    <x v="1"/>
    <x v="3"/>
  </r>
  <r>
    <x v="0"/>
    <x v="1"/>
    <x v="2"/>
    <x v="3"/>
  </r>
  <r>
    <x v="0"/>
    <x v="1"/>
    <x v="3"/>
    <x v="3"/>
  </r>
  <r>
    <x v="0"/>
    <x v="1"/>
    <x v="4"/>
    <x v="3"/>
  </r>
  <r>
    <x v="0"/>
    <x v="1"/>
    <x v="5"/>
    <x v="3"/>
  </r>
  <r>
    <x v="0"/>
    <x v="0"/>
    <x v="6"/>
    <x v="3"/>
  </r>
  <r>
    <x v="0"/>
    <x v="1"/>
    <x v="7"/>
    <x v="3"/>
  </r>
  <r>
    <x v="0"/>
    <x v="0"/>
    <x v="8"/>
    <x v="3"/>
  </r>
  <r>
    <x v="0"/>
    <x v="1"/>
    <x v="9"/>
    <x v="3"/>
  </r>
  <r>
    <x v="1"/>
    <x v="1"/>
    <x v="0"/>
    <x v="0"/>
  </r>
  <r>
    <x v="1"/>
    <x v="1"/>
    <x v="1"/>
    <x v="0"/>
  </r>
  <r>
    <x v="1"/>
    <x v="1"/>
    <x v="2"/>
    <x v="0"/>
  </r>
  <r>
    <x v="1"/>
    <x v="0"/>
    <x v="3"/>
    <x v="0"/>
  </r>
  <r>
    <x v="1"/>
    <x v="1"/>
    <x v="4"/>
    <x v="0"/>
  </r>
  <r>
    <x v="1"/>
    <x v="0"/>
    <x v="5"/>
    <x v="0"/>
  </r>
  <r>
    <x v="1"/>
    <x v="1"/>
    <x v="6"/>
    <x v="0"/>
  </r>
  <r>
    <x v="1"/>
    <x v="1"/>
    <x v="7"/>
    <x v="0"/>
  </r>
  <r>
    <x v="1"/>
    <x v="1"/>
    <x v="8"/>
    <x v="0"/>
  </r>
  <r>
    <x v="1"/>
    <x v="1"/>
    <x v="9"/>
    <x v="0"/>
  </r>
  <r>
    <x v="1"/>
    <x v="0"/>
    <x v="0"/>
    <x v="1"/>
  </r>
  <r>
    <x v="1"/>
    <x v="1"/>
    <x v="1"/>
    <x v="1"/>
  </r>
  <r>
    <x v="1"/>
    <x v="0"/>
    <x v="2"/>
    <x v="1"/>
  </r>
  <r>
    <x v="1"/>
    <x v="1"/>
    <x v="3"/>
    <x v="1"/>
  </r>
  <r>
    <x v="1"/>
    <x v="0"/>
    <x v="4"/>
    <x v="1"/>
  </r>
  <r>
    <x v="1"/>
    <x v="1"/>
    <x v="5"/>
    <x v="1"/>
  </r>
  <r>
    <x v="1"/>
    <x v="1"/>
    <x v="6"/>
    <x v="1"/>
  </r>
  <r>
    <x v="1"/>
    <x v="1"/>
    <x v="7"/>
    <x v="1"/>
  </r>
  <r>
    <x v="1"/>
    <x v="0"/>
    <x v="8"/>
    <x v="1"/>
  </r>
  <r>
    <x v="1"/>
    <x v="1"/>
    <x v="9"/>
    <x v="1"/>
  </r>
  <r>
    <x v="1"/>
    <x v="1"/>
    <x v="0"/>
    <x v="2"/>
  </r>
  <r>
    <x v="1"/>
    <x v="0"/>
    <x v="1"/>
    <x v="2"/>
  </r>
  <r>
    <x v="1"/>
    <x v="1"/>
    <x v="2"/>
    <x v="2"/>
  </r>
  <r>
    <x v="1"/>
    <x v="1"/>
    <x v="3"/>
    <x v="2"/>
  </r>
  <r>
    <x v="1"/>
    <x v="1"/>
    <x v="4"/>
    <x v="2"/>
  </r>
  <r>
    <x v="1"/>
    <x v="1"/>
    <x v="5"/>
    <x v="2"/>
  </r>
  <r>
    <x v="1"/>
    <x v="1"/>
    <x v="6"/>
    <x v="2"/>
  </r>
  <r>
    <x v="1"/>
    <x v="1"/>
    <x v="7"/>
    <x v="2"/>
  </r>
  <r>
    <x v="1"/>
    <x v="1"/>
    <x v="8"/>
    <x v="2"/>
  </r>
  <r>
    <x v="1"/>
    <x v="0"/>
    <x v="9"/>
    <x v="2"/>
  </r>
  <r>
    <x v="1"/>
    <x v="1"/>
    <x v="0"/>
    <x v="3"/>
  </r>
  <r>
    <x v="1"/>
    <x v="1"/>
    <x v="1"/>
    <x v="3"/>
  </r>
  <r>
    <x v="1"/>
    <x v="1"/>
    <x v="2"/>
    <x v="3"/>
  </r>
  <r>
    <x v="1"/>
    <x v="1"/>
    <x v="3"/>
    <x v="3"/>
  </r>
  <r>
    <x v="1"/>
    <x v="1"/>
    <x v="4"/>
    <x v="3"/>
  </r>
  <r>
    <x v="1"/>
    <x v="1"/>
    <x v="5"/>
    <x v="3"/>
  </r>
  <r>
    <x v="1"/>
    <x v="0"/>
    <x v="6"/>
    <x v="3"/>
  </r>
  <r>
    <x v="1"/>
    <x v="0"/>
    <x v="7"/>
    <x v="3"/>
  </r>
  <r>
    <x v="1"/>
    <x v="1"/>
    <x v="8"/>
    <x v="3"/>
  </r>
  <r>
    <x v="1"/>
    <x v="1"/>
    <x v="9"/>
    <x v="3"/>
  </r>
  <r>
    <x v="2"/>
    <x v="0"/>
    <x v="0"/>
    <x v="0"/>
  </r>
  <r>
    <x v="2"/>
    <x v="1"/>
    <x v="1"/>
    <x v="0"/>
  </r>
  <r>
    <x v="2"/>
    <x v="0"/>
    <x v="2"/>
    <x v="0"/>
  </r>
  <r>
    <x v="2"/>
    <x v="0"/>
    <x v="3"/>
    <x v="0"/>
  </r>
  <r>
    <x v="2"/>
    <x v="1"/>
    <x v="4"/>
    <x v="0"/>
  </r>
  <r>
    <x v="2"/>
    <x v="1"/>
    <x v="5"/>
    <x v="0"/>
  </r>
  <r>
    <x v="2"/>
    <x v="1"/>
    <x v="6"/>
    <x v="0"/>
  </r>
  <r>
    <x v="2"/>
    <x v="1"/>
    <x v="7"/>
    <x v="0"/>
  </r>
  <r>
    <x v="2"/>
    <x v="1"/>
    <x v="8"/>
    <x v="0"/>
  </r>
  <r>
    <x v="2"/>
    <x v="1"/>
    <x v="9"/>
    <x v="0"/>
  </r>
  <r>
    <x v="2"/>
    <x v="1"/>
    <x v="0"/>
    <x v="1"/>
  </r>
  <r>
    <x v="2"/>
    <x v="1"/>
    <x v="1"/>
    <x v="1"/>
  </r>
  <r>
    <x v="2"/>
    <x v="1"/>
    <x v="2"/>
    <x v="1"/>
  </r>
  <r>
    <x v="2"/>
    <x v="1"/>
    <x v="3"/>
    <x v="1"/>
  </r>
  <r>
    <x v="2"/>
    <x v="1"/>
    <x v="4"/>
    <x v="1"/>
  </r>
  <r>
    <x v="2"/>
    <x v="0"/>
    <x v="5"/>
    <x v="1"/>
  </r>
  <r>
    <x v="2"/>
    <x v="1"/>
    <x v="6"/>
    <x v="1"/>
  </r>
  <r>
    <x v="2"/>
    <x v="0"/>
    <x v="7"/>
    <x v="1"/>
  </r>
  <r>
    <x v="2"/>
    <x v="1"/>
    <x v="8"/>
    <x v="1"/>
  </r>
  <r>
    <x v="2"/>
    <x v="0"/>
    <x v="9"/>
    <x v="1"/>
  </r>
  <r>
    <x v="2"/>
    <x v="1"/>
    <x v="0"/>
    <x v="2"/>
  </r>
  <r>
    <x v="2"/>
    <x v="1"/>
    <x v="1"/>
    <x v="2"/>
  </r>
  <r>
    <x v="2"/>
    <x v="1"/>
    <x v="2"/>
    <x v="2"/>
  </r>
  <r>
    <x v="2"/>
    <x v="1"/>
    <x v="3"/>
    <x v="2"/>
  </r>
  <r>
    <x v="2"/>
    <x v="0"/>
    <x v="4"/>
    <x v="2"/>
  </r>
  <r>
    <x v="2"/>
    <x v="1"/>
    <x v="5"/>
    <x v="2"/>
  </r>
  <r>
    <x v="2"/>
    <x v="0"/>
    <x v="6"/>
    <x v="2"/>
  </r>
  <r>
    <x v="2"/>
    <x v="1"/>
    <x v="7"/>
    <x v="2"/>
  </r>
  <r>
    <x v="2"/>
    <x v="0"/>
    <x v="8"/>
    <x v="2"/>
  </r>
  <r>
    <x v="2"/>
    <x v="1"/>
    <x v="9"/>
    <x v="2"/>
  </r>
  <r>
    <x v="2"/>
    <x v="1"/>
    <x v="0"/>
    <x v="3"/>
  </r>
  <r>
    <x v="2"/>
    <x v="0"/>
    <x v="1"/>
    <x v="3"/>
  </r>
  <r>
    <x v="2"/>
    <x v="1"/>
    <x v="2"/>
    <x v="3"/>
  </r>
  <r>
    <x v="2"/>
    <x v="1"/>
    <x v="3"/>
    <x v="3"/>
  </r>
  <r>
    <x v="2"/>
    <x v="1"/>
    <x v="4"/>
    <x v="3"/>
  </r>
  <r>
    <x v="2"/>
    <x v="1"/>
    <x v="5"/>
    <x v="3"/>
  </r>
  <r>
    <x v="2"/>
    <x v="1"/>
    <x v="6"/>
    <x v="3"/>
  </r>
  <r>
    <x v="2"/>
    <x v="1"/>
    <x v="7"/>
    <x v="3"/>
  </r>
  <r>
    <x v="2"/>
    <x v="1"/>
    <x v="8"/>
    <x v="3"/>
  </r>
  <r>
    <x v="2"/>
    <x v="1"/>
    <x v="9"/>
    <x v="3"/>
  </r>
  <r>
    <x v="3"/>
    <x v="1"/>
    <x v="0"/>
    <x v="0"/>
  </r>
  <r>
    <x v="3"/>
    <x v="1"/>
    <x v="1"/>
    <x v="0"/>
  </r>
  <r>
    <x v="3"/>
    <x v="1"/>
    <x v="2"/>
    <x v="0"/>
  </r>
  <r>
    <x v="3"/>
    <x v="0"/>
    <x v="3"/>
    <x v="0"/>
  </r>
  <r>
    <x v="3"/>
    <x v="1"/>
    <x v="4"/>
    <x v="0"/>
  </r>
  <r>
    <x v="3"/>
    <x v="0"/>
    <x v="5"/>
    <x v="0"/>
  </r>
  <r>
    <x v="3"/>
    <x v="1"/>
    <x v="6"/>
    <x v="0"/>
  </r>
  <r>
    <x v="3"/>
    <x v="1"/>
    <x v="7"/>
    <x v="0"/>
  </r>
  <r>
    <x v="3"/>
    <x v="1"/>
    <x v="8"/>
    <x v="0"/>
  </r>
  <r>
    <x v="3"/>
    <x v="1"/>
    <x v="9"/>
    <x v="0"/>
  </r>
  <r>
    <x v="3"/>
    <x v="0"/>
    <x v="0"/>
    <x v="1"/>
  </r>
  <r>
    <x v="3"/>
    <x v="1"/>
    <x v="1"/>
    <x v="1"/>
  </r>
  <r>
    <x v="3"/>
    <x v="0"/>
    <x v="2"/>
    <x v="1"/>
  </r>
  <r>
    <x v="3"/>
    <x v="1"/>
    <x v="3"/>
    <x v="1"/>
  </r>
  <r>
    <x v="3"/>
    <x v="0"/>
    <x v="4"/>
    <x v="1"/>
  </r>
  <r>
    <x v="3"/>
    <x v="1"/>
    <x v="5"/>
    <x v="1"/>
  </r>
  <r>
    <x v="3"/>
    <x v="1"/>
    <x v="6"/>
    <x v="1"/>
  </r>
  <r>
    <x v="3"/>
    <x v="1"/>
    <x v="7"/>
    <x v="1"/>
  </r>
  <r>
    <x v="3"/>
    <x v="0"/>
    <x v="8"/>
    <x v="1"/>
  </r>
  <r>
    <x v="3"/>
    <x v="1"/>
    <x v="9"/>
    <x v="1"/>
  </r>
  <r>
    <x v="3"/>
    <x v="1"/>
    <x v="0"/>
    <x v="2"/>
  </r>
  <r>
    <x v="3"/>
    <x v="0"/>
    <x v="1"/>
    <x v="2"/>
  </r>
  <r>
    <x v="3"/>
    <x v="1"/>
    <x v="2"/>
    <x v="2"/>
  </r>
  <r>
    <x v="3"/>
    <x v="1"/>
    <x v="3"/>
    <x v="2"/>
  </r>
  <r>
    <x v="3"/>
    <x v="1"/>
    <x v="4"/>
    <x v="2"/>
  </r>
  <r>
    <x v="3"/>
    <x v="1"/>
    <x v="5"/>
    <x v="2"/>
  </r>
  <r>
    <x v="3"/>
    <x v="1"/>
    <x v="6"/>
    <x v="2"/>
  </r>
  <r>
    <x v="3"/>
    <x v="1"/>
    <x v="7"/>
    <x v="2"/>
  </r>
  <r>
    <x v="3"/>
    <x v="1"/>
    <x v="8"/>
    <x v="2"/>
  </r>
  <r>
    <x v="3"/>
    <x v="0"/>
    <x v="9"/>
    <x v="2"/>
  </r>
  <r>
    <x v="3"/>
    <x v="1"/>
    <x v="0"/>
    <x v="3"/>
  </r>
  <r>
    <x v="3"/>
    <x v="1"/>
    <x v="1"/>
    <x v="3"/>
  </r>
  <r>
    <x v="3"/>
    <x v="1"/>
    <x v="2"/>
    <x v="3"/>
  </r>
  <r>
    <x v="3"/>
    <x v="1"/>
    <x v="3"/>
    <x v="3"/>
  </r>
  <r>
    <x v="3"/>
    <x v="1"/>
    <x v="4"/>
    <x v="3"/>
  </r>
  <r>
    <x v="3"/>
    <x v="1"/>
    <x v="5"/>
    <x v="3"/>
  </r>
  <r>
    <x v="3"/>
    <x v="0"/>
    <x v="6"/>
    <x v="3"/>
  </r>
  <r>
    <x v="3"/>
    <x v="0"/>
    <x v="7"/>
    <x v="3"/>
  </r>
  <r>
    <x v="3"/>
    <x v="1"/>
    <x v="8"/>
    <x v="3"/>
  </r>
  <r>
    <x v="3"/>
    <x v="1"/>
    <x v="9"/>
    <x v="3"/>
  </r>
  <r>
    <x v="4"/>
    <x v="1"/>
    <x v="0"/>
    <x v="0"/>
  </r>
  <r>
    <x v="4"/>
    <x v="1"/>
    <x v="1"/>
    <x v="0"/>
  </r>
  <r>
    <x v="4"/>
    <x v="1"/>
    <x v="2"/>
    <x v="0"/>
  </r>
  <r>
    <x v="4"/>
    <x v="1"/>
    <x v="3"/>
    <x v="0"/>
  </r>
  <r>
    <x v="4"/>
    <x v="1"/>
    <x v="4"/>
    <x v="0"/>
  </r>
  <r>
    <x v="4"/>
    <x v="0"/>
    <x v="5"/>
    <x v="0"/>
  </r>
  <r>
    <x v="4"/>
    <x v="1"/>
    <x v="6"/>
    <x v="0"/>
  </r>
  <r>
    <x v="4"/>
    <x v="1"/>
    <x v="7"/>
    <x v="0"/>
  </r>
  <r>
    <x v="4"/>
    <x v="0"/>
    <x v="8"/>
    <x v="0"/>
  </r>
  <r>
    <x v="4"/>
    <x v="1"/>
    <x v="9"/>
    <x v="0"/>
  </r>
  <r>
    <x v="4"/>
    <x v="1"/>
    <x v="0"/>
    <x v="1"/>
  </r>
  <r>
    <x v="4"/>
    <x v="1"/>
    <x v="1"/>
    <x v="1"/>
  </r>
  <r>
    <x v="4"/>
    <x v="0"/>
    <x v="2"/>
    <x v="1"/>
  </r>
  <r>
    <x v="4"/>
    <x v="1"/>
    <x v="3"/>
    <x v="1"/>
  </r>
  <r>
    <x v="4"/>
    <x v="0"/>
    <x v="4"/>
    <x v="1"/>
  </r>
  <r>
    <x v="4"/>
    <x v="1"/>
    <x v="5"/>
    <x v="1"/>
  </r>
  <r>
    <x v="4"/>
    <x v="1"/>
    <x v="6"/>
    <x v="1"/>
  </r>
  <r>
    <x v="4"/>
    <x v="0"/>
    <x v="7"/>
    <x v="1"/>
  </r>
  <r>
    <x v="4"/>
    <x v="1"/>
    <x v="8"/>
    <x v="1"/>
  </r>
  <r>
    <x v="4"/>
    <x v="0"/>
    <x v="9"/>
    <x v="1"/>
  </r>
  <r>
    <x v="4"/>
    <x v="0"/>
    <x v="0"/>
    <x v="2"/>
  </r>
  <r>
    <x v="4"/>
    <x v="0"/>
    <x v="1"/>
    <x v="2"/>
  </r>
  <r>
    <x v="4"/>
    <x v="1"/>
    <x v="2"/>
    <x v="2"/>
  </r>
  <r>
    <x v="4"/>
    <x v="0"/>
    <x v="3"/>
    <x v="2"/>
  </r>
  <r>
    <x v="4"/>
    <x v="1"/>
    <x v="4"/>
    <x v="2"/>
  </r>
  <r>
    <x v="4"/>
    <x v="1"/>
    <x v="5"/>
    <x v="2"/>
  </r>
  <r>
    <x v="4"/>
    <x v="1"/>
    <x v="6"/>
    <x v="2"/>
  </r>
  <r>
    <x v="4"/>
    <x v="1"/>
    <x v="7"/>
    <x v="2"/>
  </r>
  <r>
    <x v="4"/>
    <x v="1"/>
    <x v="8"/>
    <x v="2"/>
  </r>
  <r>
    <x v="4"/>
    <x v="1"/>
    <x v="9"/>
    <x v="2"/>
  </r>
  <r>
    <x v="4"/>
    <x v="1"/>
    <x v="0"/>
    <x v="3"/>
  </r>
  <r>
    <x v="4"/>
    <x v="1"/>
    <x v="1"/>
    <x v="3"/>
  </r>
  <r>
    <x v="4"/>
    <x v="1"/>
    <x v="2"/>
    <x v="3"/>
  </r>
  <r>
    <x v="4"/>
    <x v="1"/>
    <x v="3"/>
    <x v="3"/>
  </r>
  <r>
    <x v="4"/>
    <x v="1"/>
    <x v="4"/>
    <x v="3"/>
  </r>
  <r>
    <x v="4"/>
    <x v="1"/>
    <x v="5"/>
    <x v="3"/>
  </r>
  <r>
    <x v="4"/>
    <x v="0"/>
    <x v="6"/>
    <x v="3"/>
  </r>
  <r>
    <x v="4"/>
    <x v="1"/>
    <x v="7"/>
    <x v="3"/>
  </r>
  <r>
    <x v="4"/>
    <x v="1"/>
    <x v="8"/>
    <x v="3"/>
  </r>
  <r>
    <x v="4"/>
    <x v="1"/>
    <x v="9"/>
    <x v="3"/>
  </r>
  <r>
    <x v="5"/>
    <x v="1"/>
    <x v="0"/>
    <x v="0"/>
  </r>
  <r>
    <x v="5"/>
    <x v="1"/>
    <x v="1"/>
    <x v="0"/>
  </r>
  <r>
    <x v="5"/>
    <x v="0"/>
    <x v="2"/>
    <x v="0"/>
  </r>
  <r>
    <x v="5"/>
    <x v="1"/>
    <x v="3"/>
    <x v="0"/>
  </r>
  <r>
    <x v="5"/>
    <x v="0"/>
    <x v="4"/>
    <x v="0"/>
  </r>
  <r>
    <x v="5"/>
    <x v="1"/>
    <x v="5"/>
    <x v="0"/>
  </r>
  <r>
    <x v="5"/>
    <x v="1"/>
    <x v="6"/>
    <x v="0"/>
  </r>
  <r>
    <x v="5"/>
    <x v="1"/>
    <x v="7"/>
    <x v="0"/>
  </r>
  <r>
    <x v="5"/>
    <x v="1"/>
    <x v="8"/>
    <x v="0"/>
  </r>
  <r>
    <x v="5"/>
    <x v="1"/>
    <x v="9"/>
    <x v="0"/>
  </r>
  <r>
    <x v="5"/>
    <x v="0"/>
    <x v="0"/>
    <x v="1"/>
  </r>
  <r>
    <x v="5"/>
    <x v="1"/>
    <x v="1"/>
    <x v="1"/>
  </r>
  <r>
    <x v="5"/>
    <x v="1"/>
    <x v="2"/>
    <x v="1"/>
  </r>
  <r>
    <x v="5"/>
    <x v="0"/>
    <x v="3"/>
    <x v="1"/>
  </r>
  <r>
    <x v="5"/>
    <x v="1"/>
    <x v="4"/>
    <x v="1"/>
  </r>
  <r>
    <x v="5"/>
    <x v="0"/>
    <x v="5"/>
    <x v="1"/>
  </r>
  <r>
    <x v="5"/>
    <x v="1"/>
    <x v="6"/>
    <x v="1"/>
  </r>
  <r>
    <x v="5"/>
    <x v="0"/>
    <x v="7"/>
    <x v="1"/>
  </r>
  <r>
    <x v="5"/>
    <x v="1"/>
    <x v="8"/>
    <x v="1"/>
  </r>
  <r>
    <x v="5"/>
    <x v="1"/>
    <x v="9"/>
    <x v="1"/>
  </r>
  <r>
    <x v="5"/>
    <x v="1"/>
    <x v="0"/>
    <x v="2"/>
  </r>
  <r>
    <x v="5"/>
    <x v="0"/>
    <x v="1"/>
    <x v="2"/>
  </r>
  <r>
    <x v="5"/>
    <x v="1"/>
    <x v="2"/>
    <x v="2"/>
  </r>
  <r>
    <x v="5"/>
    <x v="1"/>
    <x v="3"/>
    <x v="2"/>
  </r>
  <r>
    <x v="5"/>
    <x v="1"/>
    <x v="4"/>
    <x v="2"/>
  </r>
  <r>
    <x v="5"/>
    <x v="1"/>
    <x v="5"/>
    <x v="2"/>
  </r>
  <r>
    <x v="5"/>
    <x v="1"/>
    <x v="6"/>
    <x v="2"/>
  </r>
  <r>
    <x v="5"/>
    <x v="1"/>
    <x v="7"/>
    <x v="2"/>
  </r>
  <r>
    <x v="5"/>
    <x v="0"/>
    <x v="8"/>
    <x v="2"/>
  </r>
  <r>
    <x v="5"/>
    <x v="0"/>
    <x v="9"/>
    <x v="2"/>
  </r>
  <r>
    <x v="5"/>
    <x v="1"/>
    <x v="0"/>
    <x v="3"/>
  </r>
  <r>
    <x v="5"/>
    <x v="1"/>
    <x v="1"/>
    <x v="3"/>
  </r>
  <r>
    <x v="5"/>
    <x v="1"/>
    <x v="2"/>
    <x v="3"/>
  </r>
  <r>
    <x v="5"/>
    <x v="1"/>
    <x v="3"/>
    <x v="3"/>
  </r>
  <r>
    <x v="5"/>
    <x v="1"/>
    <x v="4"/>
    <x v="3"/>
  </r>
  <r>
    <x v="5"/>
    <x v="1"/>
    <x v="5"/>
    <x v="3"/>
  </r>
  <r>
    <x v="5"/>
    <x v="0"/>
    <x v="6"/>
    <x v="3"/>
  </r>
  <r>
    <x v="5"/>
    <x v="1"/>
    <x v="7"/>
    <x v="3"/>
  </r>
  <r>
    <x v="5"/>
    <x v="1"/>
    <x v="8"/>
    <x v="3"/>
  </r>
  <r>
    <x v="5"/>
    <x v="1"/>
    <x v="9"/>
    <x v="3"/>
  </r>
  <r>
    <x v="6"/>
    <x v="0"/>
    <x v="0"/>
    <x v="0"/>
  </r>
  <r>
    <x v="6"/>
    <x v="1"/>
    <x v="1"/>
    <x v="0"/>
  </r>
  <r>
    <x v="6"/>
    <x v="1"/>
    <x v="2"/>
    <x v="0"/>
  </r>
  <r>
    <x v="6"/>
    <x v="1"/>
    <x v="3"/>
    <x v="0"/>
  </r>
  <r>
    <x v="6"/>
    <x v="1"/>
    <x v="4"/>
    <x v="0"/>
  </r>
  <r>
    <x v="6"/>
    <x v="0"/>
    <x v="5"/>
    <x v="0"/>
  </r>
  <r>
    <x v="6"/>
    <x v="1"/>
    <x v="6"/>
    <x v="0"/>
  </r>
  <r>
    <x v="6"/>
    <x v="1"/>
    <x v="7"/>
    <x v="0"/>
  </r>
  <r>
    <x v="6"/>
    <x v="1"/>
    <x v="8"/>
    <x v="0"/>
  </r>
  <r>
    <x v="6"/>
    <x v="1"/>
    <x v="9"/>
    <x v="0"/>
  </r>
  <r>
    <x v="6"/>
    <x v="1"/>
    <x v="0"/>
    <x v="1"/>
  </r>
  <r>
    <x v="6"/>
    <x v="1"/>
    <x v="1"/>
    <x v="1"/>
  </r>
  <r>
    <x v="6"/>
    <x v="0"/>
    <x v="2"/>
    <x v="1"/>
  </r>
  <r>
    <x v="6"/>
    <x v="0"/>
    <x v="3"/>
    <x v="1"/>
  </r>
  <r>
    <x v="6"/>
    <x v="0"/>
    <x v="4"/>
    <x v="1"/>
  </r>
  <r>
    <x v="6"/>
    <x v="1"/>
    <x v="5"/>
    <x v="1"/>
  </r>
  <r>
    <x v="6"/>
    <x v="1"/>
    <x v="6"/>
    <x v="1"/>
  </r>
  <r>
    <x v="6"/>
    <x v="0"/>
    <x v="7"/>
    <x v="1"/>
  </r>
  <r>
    <x v="6"/>
    <x v="1"/>
    <x v="8"/>
    <x v="1"/>
  </r>
  <r>
    <x v="6"/>
    <x v="1"/>
    <x v="9"/>
    <x v="1"/>
  </r>
  <r>
    <x v="6"/>
    <x v="1"/>
    <x v="0"/>
    <x v="2"/>
  </r>
  <r>
    <x v="6"/>
    <x v="0"/>
    <x v="1"/>
    <x v="2"/>
  </r>
  <r>
    <x v="6"/>
    <x v="1"/>
    <x v="2"/>
    <x v="2"/>
  </r>
  <r>
    <x v="6"/>
    <x v="1"/>
    <x v="3"/>
    <x v="2"/>
  </r>
  <r>
    <x v="6"/>
    <x v="1"/>
    <x v="4"/>
    <x v="2"/>
  </r>
  <r>
    <x v="6"/>
    <x v="1"/>
    <x v="5"/>
    <x v="2"/>
  </r>
  <r>
    <x v="6"/>
    <x v="1"/>
    <x v="6"/>
    <x v="2"/>
  </r>
  <r>
    <x v="6"/>
    <x v="1"/>
    <x v="7"/>
    <x v="2"/>
  </r>
  <r>
    <x v="6"/>
    <x v="0"/>
    <x v="8"/>
    <x v="2"/>
  </r>
  <r>
    <x v="6"/>
    <x v="0"/>
    <x v="9"/>
    <x v="2"/>
  </r>
  <r>
    <x v="6"/>
    <x v="1"/>
    <x v="0"/>
    <x v="3"/>
  </r>
  <r>
    <x v="6"/>
    <x v="1"/>
    <x v="1"/>
    <x v="3"/>
  </r>
  <r>
    <x v="6"/>
    <x v="1"/>
    <x v="2"/>
    <x v="3"/>
  </r>
  <r>
    <x v="6"/>
    <x v="1"/>
    <x v="3"/>
    <x v="3"/>
  </r>
  <r>
    <x v="6"/>
    <x v="1"/>
    <x v="4"/>
    <x v="3"/>
  </r>
  <r>
    <x v="6"/>
    <x v="1"/>
    <x v="5"/>
    <x v="3"/>
  </r>
  <r>
    <x v="6"/>
    <x v="0"/>
    <x v="6"/>
    <x v="3"/>
  </r>
  <r>
    <x v="6"/>
    <x v="1"/>
    <x v="7"/>
    <x v="3"/>
  </r>
  <r>
    <x v="6"/>
    <x v="1"/>
    <x v="8"/>
    <x v="3"/>
  </r>
  <r>
    <x v="6"/>
    <x v="1"/>
    <x v="9"/>
    <x v="3"/>
  </r>
  <r>
    <x v="7"/>
    <x v="1"/>
    <x v="0"/>
    <x v="0"/>
  </r>
  <r>
    <x v="7"/>
    <x v="1"/>
    <x v="1"/>
    <x v="0"/>
  </r>
  <r>
    <x v="7"/>
    <x v="0"/>
    <x v="2"/>
    <x v="0"/>
  </r>
  <r>
    <x v="7"/>
    <x v="1"/>
    <x v="3"/>
    <x v="0"/>
  </r>
  <r>
    <x v="7"/>
    <x v="0"/>
    <x v="4"/>
    <x v="0"/>
  </r>
  <r>
    <x v="7"/>
    <x v="1"/>
    <x v="5"/>
    <x v="0"/>
  </r>
  <r>
    <x v="7"/>
    <x v="1"/>
    <x v="6"/>
    <x v="0"/>
  </r>
  <r>
    <x v="7"/>
    <x v="1"/>
    <x v="7"/>
    <x v="0"/>
  </r>
  <r>
    <x v="7"/>
    <x v="1"/>
    <x v="8"/>
    <x v="0"/>
  </r>
  <r>
    <x v="7"/>
    <x v="1"/>
    <x v="9"/>
    <x v="0"/>
  </r>
  <r>
    <x v="7"/>
    <x v="0"/>
    <x v="0"/>
    <x v="1"/>
  </r>
  <r>
    <x v="7"/>
    <x v="1"/>
    <x v="1"/>
    <x v="1"/>
  </r>
  <r>
    <x v="7"/>
    <x v="1"/>
    <x v="2"/>
    <x v="1"/>
  </r>
  <r>
    <x v="7"/>
    <x v="1"/>
    <x v="3"/>
    <x v="1"/>
  </r>
  <r>
    <x v="7"/>
    <x v="1"/>
    <x v="4"/>
    <x v="1"/>
  </r>
  <r>
    <x v="7"/>
    <x v="0"/>
    <x v="5"/>
    <x v="1"/>
  </r>
  <r>
    <x v="7"/>
    <x v="1"/>
    <x v="6"/>
    <x v="1"/>
  </r>
  <r>
    <x v="7"/>
    <x v="0"/>
    <x v="7"/>
    <x v="1"/>
  </r>
  <r>
    <x v="7"/>
    <x v="0"/>
    <x v="8"/>
    <x v="1"/>
  </r>
  <r>
    <x v="7"/>
    <x v="1"/>
    <x v="9"/>
    <x v="1"/>
  </r>
  <r>
    <x v="7"/>
    <x v="1"/>
    <x v="0"/>
    <x v="2"/>
  </r>
  <r>
    <x v="7"/>
    <x v="1"/>
    <x v="1"/>
    <x v="2"/>
  </r>
  <r>
    <x v="7"/>
    <x v="1"/>
    <x v="2"/>
    <x v="2"/>
  </r>
  <r>
    <x v="7"/>
    <x v="0"/>
    <x v="3"/>
    <x v="2"/>
  </r>
  <r>
    <x v="7"/>
    <x v="1"/>
    <x v="4"/>
    <x v="2"/>
  </r>
  <r>
    <x v="7"/>
    <x v="1"/>
    <x v="5"/>
    <x v="2"/>
  </r>
  <r>
    <x v="7"/>
    <x v="0"/>
    <x v="6"/>
    <x v="2"/>
  </r>
  <r>
    <x v="7"/>
    <x v="1"/>
    <x v="7"/>
    <x v="2"/>
  </r>
  <r>
    <x v="7"/>
    <x v="1"/>
    <x v="8"/>
    <x v="2"/>
  </r>
  <r>
    <x v="7"/>
    <x v="0"/>
    <x v="9"/>
    <x v="2"/>
  </r>
  <r>
    <x v="7"/>
    <x v="1"/>
    <x v="0"/>
    <x v="3"/>
  </r>
  <r>
    <x v="7"/>
    <x v="0"/>
    <x v="1"/>
    <x v="3"/>
  </r>
  <r>
    <x v="7"/>
    <x v="1"/>
    <x v="2"/>
    <x v="3"/>
  </r>
  <r>
    <x v="7"/>
    <x v="1"/>
    <x v="3"/>
    <x v="3"/>
  </r>
  <r>
    <x v="7"/>
    <x v="1"/>
    <x v="4"/>
    <x v="3"/>
  </r>
  <r>
    <x v="7"/>
    <x v="1"/>
    <x v="5"/>
    <x v="3"/>
  </r>
  <r>
    <x v="7"/>
    <x v="1"/>
    <x v="6"/>
    <x v="3"/>
  </r>
  <r>
    <x v="7"/>
    <x v="1"/>
    <x v="7"/>
    <x v="3"/>
  </r>
  <r>
    <x v="7"/>
    <x v="1"/>
    <x v="8"/>
    <x v="3"/>
  </r>
  <r>
    <x v="7"/>
    <x v="1"/>
    <x v="9"/>
    <x v="3"/>
  </r>
  <r>
    <x v="8"/>
    <x v="1"/>
    <x v="0"/>
    <x v="0"/>
  </r>
  <r>
    <x v="8"/>
    <x v="1"/>
    <x v="1"/>
    <x v="0"/>
  </r>
  <r>
    <x v="8"/>
    <x v="1"/>
    <x v="2"/>
    <x v="0"/>
  </r>
  <r>
    <x v="8"/>
    <x v="1"/>
    <x v="3"/>
    <x v="0"/>
  </r>
  <r>
    <x v="8"/>
    <x v="1"/>
    <x v="4"/>
    <x v="0"/>
  </r>
  <r>
    <x v="8"/>
    <x v="0"/>
    <x v="5"/>
    <x v="0"/>
  </r>
  <r>
    <x v="8"/>
    <x v="1"/>
    <x v="6"/>
    <x v="0"/>
  </r>
  <r>
    <x v="8"/>
    <x v="1"/>
    <x v="7"/>
    <x v="0"/>
  </r>
  <r>
    <x v="8"/>
    <x v="0"/>
    <x v="8"/>
    <x v="0"/>
  </r>
  <r>
    <x v="8"/>
    <x v="1"/>
    <x v="9"/>
    <x v="0"/>
  </r>
  <r>
    <x v="8"/>
    <x v="1"/>
    <x v="0"/>
    <x v="1"/>
  </r>
  <r>
    <x v="8"/>
    <x v="1"/>
    <x v="1"/>
    <x v="1"/>
  </r>
  <r>
    <x v="8"/>
    <x v="0"/>
    <x v="2"/>
    <x v="1"/>
  </r>
  <r>
    <x v="8"/>
    <x v="0"/>
    <x v="3"/>
    <x v="1"/>
  </r>
  <r>
    <x v="8"/>
    <x v="0"/>
    <x v="4"/>
    <x v="1"/>
  </r>
  <r>
    <x v="8"/>
    <x v="1"/>
    <x v="5"/>
    <x v="1"/>
  </r>
  <r>
    <x v="8"/>
    <x v="1"/>
    <x v="6"/>
    <x v="1"/>
  </r>
  <r>
    <x v="8"/>
    <x v="0"/>
    <x v="7"/>
    <x v="1"/>
  </r>
  <r>
    <x v="8"/>
    <x v="1"/>
    <x v="8"/>
    <x v="1"/>
  </r>
  <r>
    <x v="8"/>
    <x v="1"/>
    <x v="9"/>
    <x v="1"/>
  </r>
  <r>
    <x v="8"/>
    <x v="0"/>
    <x v="0"/>
    <x v="2"/>
  </r>
  <r>
    <x v="8"/>
    <x v="1"/>
    <x v="1"/>
    <x v="2"/>
  </r>
  <r>
    <x v="8"/>
    <x v="1"/>
    <x v="2"/>
    <x v="2"/>
  </r>
  <r>
    <x v="8"/>
    <x v="1"/>
    <x v="3"/>
    <x v="2"/>
  </r>
  <r>
    <x v="8"/>
    <x v="1"/>
    <x v="4"/>
    <x v="2"/>
  </r>
  <r>
    <x v="8"/>
    <x v="1"/>
    <x v="5"/>
    <x v="2"/>
  </r>
  <r>
    <x v="8"/>
    <x v="0"/>
    <x v="6"/>
    <x v="2"/>
  </r>
  <r>
    <x v="8"/>
    <x v="1"/>
    <x v="7"/>
    <x v="2"/>
  </r>
  <r>
    <x v="8"/>
    <x v="1"/>
    <x v="8"/>
    <x v="2"/>
  </r>
  <r>
    <x v="8"/>
    <x v="0"/>
    <x v="9"/>
    <x v="2"/>
  </r>
  <r>
    <x v="8"/>
    <x v="1"/>
    <x v="0"/>
    <x v="3"/>
  </r>
  <r>
    <x v="8"/>
    <x v="0"/>
    <x v="1"/>
    <x v="3"/>
  </r>
  <r>
    <x v="8"/>
    <x v="1"/>
    <x v="2"/>
    <x v="3"/>
  </r>
  <r>
    <x v="8"/>
    <x v="1"/>
    <x v="3"/>
    <x v="3"/>
  </r>
  <r>
    <x v="8"/>
    <x v="1"/>
    <x v="4"/>
    <x v="3"/>
  </r>
  <r>
    <x v="8"/>
    <x v="1"/>
    <x v="5"/>
    <x v="3"/>
  </r>
  <r>
    <x v="8"/>
    <x v="1"/>
    <x v="6"/>
    <x v="3"/>
  </r>
  <r>
    <x v="8"/>
    <x v="1"/>
    <x v="7"/>
    <x v="3"/>
  </r>
  <r>
    <x v="8"/>
    <x v="1"/>
    <x v="8"/>
    <x v="3"/>
  </r>
  <r>
    <x v="8"/>
    <x v="1"/>
    <x v="9"/>
    <x v="3"/>
  </r>
  <r>
    <x v="9"/>
    <x v="1"/>
    <x v="0"/>
    <x v="0"/>
  </r>
  <r>
    <x v="9"/>
    <x v="1"/>
    <x v="1"/>
    <x v="0"/>
  </r>
  <r>
    <x v="9"/>
    <x v="1"/>
    <x v="2"/>
    <x v="0"/>
  </r>
  <r>
    <x v="9"/>
    <x v="0"/>
    <x v="3"/>
    <x v="0"/>
  </r>
  <r>
    <x v="9"/>
    <x v="1"/>
    <x v="4"/>
    <x v="0"/>
  </r>
  <r>
    <x v="9"/>
    <x v="0"/>
    <x v="5"/>
    <x v="0"/>
  </r>
  <r>
    <x v="9"/>
    <x v="1"/>
    <x v="6"/>
    <x v="0"/>
  </r>
  <r>
    <x v="9"/>
    <x v="1"/>
    <x v="7"/>
    <x v="0"/>
  </r>
  <r>
    <x v="9"/>
    <x v="1"/>
    <x v="8"/>
    <x v="0"/>
  </r>
  <r>
    <x v="9"/>
    <x v="1"/>
    <x v="9"/>
    <x v="0"/>
  </r>
  <r>
    <x v="9"/>
    <x v="0"/>
    <x v="0"/>
    <x v="1"/>
  </r>
  <r>
    <x v="9"/>
    <x v="1"/>
    <x v="1"/>
    <x v="1"/>
  </r>
  <r>
    <x v="9"/>
    <x v="0"/>
    <x v="2"/>
    <x v="1"/>
  </r>
  <r>
    <x v="9"/>
    <x v="1"/>
    <x v="3"/>
    <x v="1"/>
  </r>
  <r>
    <x v="9"/>
    <x v="0"/>
    <x v="4"/>
    <x v="1"/>
  </r>
  <r>
    <x v="9"/>
    <x v="1"/>
    <x v="5"/>
    <x v="1"/>
  </r>
  <r>
    <x v="9"/>
    <x v="1"/>
    <x v="6"/>
    <x v="1"/>
  </r>
  <r>
    <x v="9"/>
    <x v="0"/>
    <x v="7"/>
    <x v="1"/>
  </r>
  <r>
    <x v="9"/>
    <x v="0"/>
    <x v="8"/>
    <x v="1"/>
  </r>
  <r>
    <x v="9"/>
    <x v="1"/>
    <x v="9"/>
    <x v="1"/>
  </r>
  <r>
    <x v="9"/>
    <x v="1"/>
    <x v="0"/>
    <x v="2"/>
  </r>
  <r>
    <x v="9"/>
    <x v="0"/>
    <x v="1"/>
    <x v="2"/>
  </r>
  <r>
    <x v="9"/>
    <x v="1"/>
    <x v="2"/>
    <x v="2"/>
  </r>
  <r>
    <x v="9"/>
    <x v="1"/>
    <x v="3"/>
    <x v="2"/>
  </r>
  <r>
    <x v="9"/>
    <x v="1"/>
    <x v="4"/>
    <x v="2"/>
  </r>
  <r>
    <x v="9"/>
    <x v="1"/>
    <x v="5"/>
    <x v="2"/>
  </r>
  <r>
    <x v="9"/>
    <x v="1"/>
    <x v="6"/>
    <x v="2"/>
  </r>
  <r>
    <x v="9"/>
    <x v="1"/>
    <x v="7"/>
    <x v="2"/>
  </r>
  <r>
    <x v="9"/>
    <x v="1"/>
    <x v="8"/>
    <x v="2"/>
  </r>
  <r>
    <x v="9"/>
    <x v="0"/>
    <x v="9"/>
    <x v="2"/>
  </r>
  <r>
    <x v="9"/>
    <x v="1"/>
    <x v="0"/>
    <x v="3"/>
  </r>
  <r>
    <x v="9"/>
    <x v="1"/>
    <x v="1"/>
    <x v="3"/>
  </r>
  <r>
    <x v="9"/>
    <x v="1"/>
    <x v="2"/>
    <x v="3"/>
  </r>
  <r>
    <x v="9"/>
    <x v="1"/>
    <x v="3"/>
    <x v="3"/>
  </r>
  <r>
    <x v="9"/>
    <x v="1"/>
    <x v="4"/>
    <x v="3"/>
  </r>
  <r>
    <x v="9"/>
    <x v="1"/>
    <x v="5"/>
    <x v="3"/>
  </r>
  <r>
    <x v="9"/>
    <x v="0"/>
    <x v="6"/>
    <x v="3"/>
  </r>
  <r>
    <x v="9"/>
    <x v="1"/>
    <x v="7"/>
    <x v="3"/>
  </r>
  <r>
    <x v="9"/>
    <x v="1"/>
    <x v="8"/>
    <x v="3"/>
  </r>
  <r>
    <x v="9"/>
    <x v="1"/>
    <x v="9"/>
    <x v="3"/>
  </r>
  <r>
    <x v="10"/>
    <x v="1"/>
    <x v="0"/>
    <x v="0"/>
  </r>
  <r>
    <x v="10"/>
    <x v="1"/>
    <x v="1"/>
    <x v="0"/>
  </r>
  <r>
    <x v="10"/>
    <x v="1"/>
    <x v="2"/>
    <x v="0"/>
  </r>
  <r>
    <x v="10"/>
    <x v="1"/>
    <x v="3"/>
    <x v="0"/>
  </r>
  <r>
    <x v="10"/>
    <x v="1"/>
    <x v="4"/>
    <x v="0"/>
  </r>
  <r>
    <x v="10"/>
    <x v="0"/>
    <x v="5"/>
    <x v="0"/>
  </r>
  <r>
    <x v="10"/>
    <x v="1"/>
    <x v="6"/>
    <x v="0"/>
  </r>
  <r>
    <x v="10"/>
    <x v="1"/>
    <x v="7"/>
    <x v="0"/>
  </r>
  <r>
    <x v="10"/>
    <x v="0"/>
    <x v="8"/>
    <x v="0"/>
  </r>
  <r>
    <x v="10"/>
    <x v="1"/>
    <x v="9"/>
    <x v="0"/>
  </r>
  <r>
    <x v="10"/>
    <x v="1"/>
    <x v="0"/>
    <x v="1"/>
  </r>
  <r>
    <x v="10"/>
    <x v="1"/>
    <x v="1"/>
    <x v="1"/>
  </r>
  <r>
    <x v="10"/>
    <x v="0"/>
    <x v="2"/>
    <x v="1"/>
  </r>
  <r>
    <x v="10"/>
    <x v="0"/>
    <x v="3"/>
    <x v="1"/>
  </r>
  <r>
    <x v="10"/>
    <x v="0"/>
    <x v="4"/>
    <x v="1"/>
  </r>
  <r>
    <x v="10"/>
    <x v="1"/>
    <x v="5"/>
    <x v="1"/>
  </r>
  <r>
    <x v="10"/>
    <x v="1"/>
    <x v="6"/>
    <x v="1"/>
  </r>
  <r>
    <x v="10"/>
    <x v="0"/>
    <x v="7"/>
    <x v="1"/>
  </r>
  <r>
    <x v="10"/>
    <x v="1"/>
    <x v="8"/>
    <x v="1"/>
  </r>
  <r>
    <x v="10"/>
    <x v="1"/>
    <x v="9"/>
    <x v="1"/>
  </r>
  <r>
    <x v="10"/>
    <x v="0"/>
    <x v="0"/>
    <x v="2"/>
  </r>
  <r>
    <x v="10"/>
    <x v="1"/>
    <x v="1"/>
    <x v="2"/>
  </r>
  <r>
    <x v="10"/>
    <x v="1"/>
    <x v="2"/>
    <x v="2"/>
  </r>
  <r>
    <x v="10"/>
    <x v="1"/>
    <x v="3"/>
    <x v="2"/>
  </r>
  <r>
    <x v="10"/>
    <x v="1"/>
    <x v="4"/>
    <x v="2"/>
  </r>
  <r>
    <x v="10"/>
    <x v="1"/>
    <x v="5"/>
    <x v="2"/>
  </r>
  <r>
    <x v="10"/>
    <x v="0"/>
    <x v="6"/>
    <x v="2"/>
  </r>
  <r>
    <x v="10"/>
    <x v="1"/>
    <x v="7"/>
    <x v="2"/>
  </r>
  <r>
    <x v="10"/>
    <x v="1"/>
    <x v="8"/>
    <x v="2"/>
  </r>
  <r>
    <x v="10"/>
    <x v="0"/>
    <x v="9"/>
    <x v="2"/>
  </r>
  <r>
    <x v="10"/>
    <x v="1"/>
    <x v="0"/>
    <x v="3"/>
  </r>
  <r>
    <x v="10"/>
    <x v="0"/>
    <x v="1"/>
    <x v="3"/>
  </r>
  <r>
    <x v="10"/>
    <x v="1"/>
    <x v="2"/>
    <x v="3"/>
  </r>
  <r>
    <x v="10"/>
    <x v="1"/>
    <x v="3"/>
    <x v="3"/>
  </r>
  <r>
    <x v="10"/>
    <x v="1"/>
    <x v="4"/>
    <x v="3"/>
  </r>
  <r>
    <x v="10"/>
    <x v="1"/>
    <x v="5"/>
    <x v="3"/>
  </r>
  <r>
    <x v="10"/>
    <x v="1"/>
    <x v="6"/>
    <x v="3"/>
  </r>
  <r>
    <x v="10"/>
    <x v="1"/>
    <x v="7"/>
    <x v="3"/>
  </r>
  <r>
    <x v="10"/>
    <x v="1"/>
    <x v="8"/>
    <x v="3"/>
  </r>
  <r>
    <x v="10"/>
    <x v="1"/>
    <x v="9"/>
    <x v="3"/>
  </r>
  <r>
    <x v="11"/>
    <x v="1"/>
    <x v="0"/>
    <x v="0"/>
  </r>
  <r>
    <x v="11"/>
    <x v="1"/>
    <x v="1"/>
    <x v="0"/>
  </r>
  <r>
    <x v="11"/>
    <x v="1"/>
    <x v="2"/>
    <x v="0"/>
  </r>
  <r>
    <x v="11"/>
    <x v="1"/>
    <x v="3"/>
    <x v="0"/>
  </r>
  <r>
    <x v="11"/>
    <x v="1"/>
    <x v="4"/>
    <x v="0"/>
  </r>
  <r>
    <x v="11"/>
    <x v="0"/>
    <x v="5"/>
    <x v="0"/>
  </r>
  <r>
    <x v="11"/>
    <x v="1"/>
    <x v="6"/>
    <x v="0"/>
  </r>
  <r>
    <x v="11"/>
    <x v="1"/>
    <x v="7"/>
    <x v="0"/>
  </r>
  <r>
    <x v="11"/>
    <x v="0"/>
    <x v="8"/>
    <x v="0"/>
  </r>
  <r>
    <x v="11"/>
    <x v="1"/>
    <x v="9"/>
    <x v="0"/>
  </r>
  <r>
    <x v="11"/>
    <x v="1"/>
    <x v="0"/>
    <x v="1"/>
  </r>
  <r>
    <x v="11"/>
    <x v="1"/>
    <x v="1"/>
    <x v="1"/>
  </r>
  <r>
    <x v="11"/>
    <x v="0"/>
    <x v="2"/>
    <x v="1"/>
  </r>
  <r>
    <x v="11"/>
    <x v="1"/>
    <x v="3"/>
    <x v="1"/>
  </r>
  <r>
    <x v="11"/>
    <x v="0"/>
    <x v="4"/>
    <x v="1"/>
  </r>
  <r>
    <x v="11"/>
    <x v="1"/>
    <x v="5"/>
    <x v="1"/>
  </r>
  <r>
    <x v="11"/>
    <x v="1"/>
    <x v="6"/>
    <x v="1"/>
  </r>
  <r>
    <x v="11"/>
    <x v="0"/>
    <x v="7"/>
    <x v="1"/>
  </r>
  <r>
    <x v="11"/>
    <x v="1"/>
    <x v="8"/>
    <x v="1"/>
  </r>
  <r>
    <x v="11"/>
    <x v="0"/>
    <x v="9"/>
    <x v="1"/>
  </r>
  <r>
    <x v="11"/>
    <x v="0"/>
    <x v="0"/>
    <x v="2"/>
  </r>
  <r>
    <x v="11"/>
    <x v="0"/>
    <x v="1"/>
    <x v="2"/>
  </r>
  <r>
    <x v="11"/>
    <x v="1"/>
    <x v="2"/>
    <x v="2"/>
  </r>
  <r>
    <x v="11"/>
    <x v="0"/>
    <x v="3"/>
    <x v="2"/>
  </r>
  <r>
    <x v="11"/>
    <x v="1"/>
    <x v="4"/>
    <x v="2"/>
  </r>
  <r>
    <x v="11"/>
    <x v="1"/>
    <x v="5"/>
    <x v="2"/>
  </r>
  <r>
    <x v="11"/>
    <x v="1"/>
    <x v="6"/>
    <x v="2"/>
  </r>
  <r>
    <x v="11"/>
    <x v="1"/>
    <x v="7"/>
    <x v="2"/>
  </r>
  <r>
    <x v="11"/>
    <x v="1"/>
    <x v="8"/>
    <x v="2"/>
  </r>
  <r>
    <x v="11"/>
    <x v="1"/>
    <x v="9"/>
    <x v="2"/>
  </r>
  <r>
    <x v="11"/>
    <x v="1"/>
    <x v="0"/>
    <x v="3"/>
  </r>
  <r>
    <x v="11"/>
    <x v="1"/>
    <x v="1"/>
    <x v="3"/>
  </r>
  <r>
    <x v="11"/>
    <x v="1"/>
    <x v="2"/>
    <x v="3"/>
  </r>
  <r>
    <x v="11"/>
    <x v="1"/>
    <x v="3"/>
    <x v="3"/>
  </r>
  <r>
    <x v="11"/>
    <x v="1"/>
    <x v="4"/>
    <x v="3"/>
  </r>
  <r>
    <x v="11"/>
    <x v="1"/>
    <x v="5"/>
    <x v="3"/>
  </r>
  <r>
    <x v="11"/>
    <x v="0"/>
    <x v="6"/>
    <x v="3"/>
  </r>
  <r>
    <x v="11"/>
    <x v="1"/>
    <x v="7"/>
    <x v="3"/>
  </r>
  <r>
    <x v="11"/>
    <x v="1"/>
    <x v="8"/>
    <x v="3"/>
  </r>
  <r>
    <x v="11"/>
    <x v="1"/>
    <x v="9"/>
    <x v="3"/>
  </r>
  <r>
    <x v="12"/>
    <x v="1"/>
    <x v="0"/>
    <x v="0"/>
  </r>
  <r>
    <x v="12"/>
    <x v="1"/>
    <x v="1"/>
    <x v="0"/>
  </r>
  <r>
    <x v="12"/>
    <x v="0"/>
    <x v="2"/>
    <x v="0"/>
  </r>
  <r>
    <x v="12"/>
    <x v="1"/>
    <x v="3"/>
    <x v="0"/>
  </r>
  <r>
    <x v="12"/>
    <x v="0"/>
    <x v="4"/>
    <x v="0"/>
  </r>
  <r>
    <x v="12"/>
    <x v="1"/>
    <x v="5"/>
    <x v="0"/>
  </r>
  <r>
    <x v="12"/>
    <x v="1"/>
    <x v="6"/>
    <x v="0"/>
  </r>
  <r>
    <x v="12"/>
    <x v="1"/>
    <x v="7"/>
    <x v="0"/>
  </r>
  <r>
    <x v="12"/>
    <x v="1"/>
    <x v="8"/>
    <x v="0"/>
  </r>
  <r>
    <x v="12"/>
    <x v="1"/>
    <x v="9"/>
    <x v="0"/>
  </r>
  <r>
    <x v="12"/>
    <x v="0"/>
    <x v="0"/>
    <x v="1"/>
  </r>
  <r>
    <x v="12"/>
    <x v="1"/>
    <x v="1"/>
    <x v="1"/>
  </r>
  <r>
    <x v="12"/>
    <x v="1"/>
    <x v="2"/>
    <x v="1"/>
  </r>
  <r>
    <x v="12"/>
    <x v="0"/>
    <x v="3"/>
    <x v="1"/>
  </r>
  <r>
    <x v="12"/>
    <x v="1"/>
    <x v="4"/>
    <x v="1"/>
  </r>
  <r>
    <x v="12"/>
    <x v="0"/>
    <x v="5"/>
    <x v="1"/>
  </r>
  <r>
    <x v="12"/>
    <x v="1"/>
    <x v="6"/>
    <x v="1"/>
  </r>
  <r>
    <x v="12"/>
    <x v="0"/>
    <x v="7"/>
    <x v="1"/>
  </r>
  <r>
    <x v="12"/>
    <x v="1"/>
    <x v="8"/>
    <x v="1"/>
  </r>
  <r>
    <x v="12"/>
    <x v="1"/>
    <x v="9"/>
    <x v="1"/>
  </r>
  <r>
    <x v="12"/>
    <x v="1"/>
    <x v="0"/>
    <x v="2"/>
  </r>
  <r>
    <x v="12"/>
    <x v="0"/>
    <x v="1"/>
    <x v="2"/>
  </r>
  <r>
    <x v="12"/>
    <x v="1"/>
    <x v="2"/>
    <x v="2"/>
  </r>
  <r>
    <x v="12"/>
    <x v="1"/>
    <x v="3"/>
    <x v="2"/>
  </r>
  <r>
    <x v="12"/>
    <x v="1"/>
    <x v="4"/>
    <x v="2"/>
  </r>
  <r>
    <x v="12"/>
    <x v="1"/>
    <x v="5"/>
    <x v="2"/>
  </r>
  <r>
    <x v="12"/>
    <x v="1"/>
    <x v="6"/>
    <x v="2"/>
  </r>
  <r>
    <x v="12"/>
    <x v="1"/>
    <x v="7"/>
    <x v="2"/>
  </r>
  <r>
    <x v="12"/>
    <x v="0"/>
    <x v="8"/>
    <x v="2"/>
  </r>
  <r>
    <x v="12"/>
    <x v="0"/>
    <x v="9"/>
    <x v="2"/>
  </r>
  <r>
    <x v="12"/>
    <x v="1"/>
    <x v="0"/>
    <x v="3"/>
  </r>
  <r>
    <x v="12"/>
    <x v="1"/>
    <x v="1"/>
    <x v="3"/>
  </r>
  <r>
    <x v="12"/>
    <x v="1"/>
    <x v="2"/>
    <x v="3"/>
  </r>
  <r>
    <x v="12"/>
    <x v="1"/>
    <x v="3"/>
    <x v="3"/>
  </r>
  <r>
    <x v="12"/>
    <x v="1"/>
    <x v="4"/>
    <x v="3"/>
  </r>
  <r>
    <x v="12"/>
    <x v="1"/>
    <x v="5"/>
    <x v="3"/>
  </r>
  <r>
    <x v="12"/>
    <x v="0"/>
    <x v="6"/>
    <x v="3"/>
  </r>
  <r>
    <x v="12"/>
    <x v="1"/>
    <x v="7"/>
    <x v="3"/>
  </r>
  <r>
    <x v="12"/>
    <x v="1"/>
    <x v="8"/>
    <x v="3"/>
  </r>
  <r>
    <x v="12"/>
    <x v="1"/>
    <x v="9"/>
    <x v="3"/>
  </r>
  <r>
    <x v="13"/>
    <x v="1"/>
    <x v="0"/>
    <x v="0"/>
  </r>
  <r>
    <x v="13"/>
    <x v="1"/>
    <x v="1"/>
    <x v="0"/>
  </r>
  <r>
    <x v="13"/>
    <x v="0"/>
    <x v="2"/>
    <x v="0"/>
  </r>
  <r>
    <x v="13"/>
    <x v="1"/>
    <x v="3"/>
    <x v="0"/>
  </r>
  <r>
    <x v="13"/>
    <x v="0"/>
    <x v="4"/>
    <x v="0"/>
  </r>
  <r>
    <x v="13"/>
    <x v="1"/>
    <x v="5"/>
    <x v="0"/>
  </r>
  <r>
    <x v="13"/>
    <x v="1"/>
    <x v="6"/>
    <x v="0"/>
  </r>
  <r>
    <x v="13"/>
    <x v="1"/>
    <x v="7"/>
    <x v="0"/>
  </r>
  <r>
    <x v="13"/>
    <x v="1"/>
    <x v="8"/>
    <x v="0"/>
  </r>
  <r>
    <x v="13"/>
    <x v="1"/>
    <x v="9"/>
    <x v="0"/>
  </r>
  <r>
    <x v="13"/>
    <x v="0"/>
    <x v="0"/>
    <x v="1"/>
  </r>
  <r>
    <x v="13"/>
    <x v="1"/>
    <x v="1"/>
    <x v="1"/>
  </r>
  <r>
    <x v="13"/>
    <x v="1"/>
    <x v="2"/>
    <x v="1"/>
  </r>
  <r>
    <x v="13"/>
    <x v="0"/>
    <x v="3"/>
    <x v="1"/>
  </r>
  <r>
    <x v="13"/>
    <x v="1"/>
    <x v="4"/>
    <x v="1"/>
  </r>
  <r>
    <x v="13"/>
    <x v="0"/>
    <x v="5"/>
    <x v="1"/>
  </r>
  <r>
    <x v="13"/>
    <x v="1"/>
    <x v="6"/>
    <x v="1"/>
  </r>
  <r>
    <x v="13"/>
    <x v="1"/>
    <x v="7"/>
    <x v="1"/>
  </r>
  <r>
    <x v="13"/>
    <x v="1"/>
    <x v="8"/>
    <x v="1"/>
  </r>
  <r>
    <x v="13"/>
    <x v="1"/>
    <x v="9"/>
    <x v="1"/>
  </r>
  <r>
    <x v="13"/>
    <x v="1"/>
    <x v="0"/>
    <x v="2"/>
  </r>
  <r>
    <x v="13"/>
    <x v="0"/>
    <x v="1"/>
    <x v="2"/>
  </r>
  <r>
    <x v="13"/>
    <x v="1"/>
    <x v="2"/>
    <x v="2"/>
  </r>
  <r>
    <x v="13"/>
    <x v="1"/>
    <x v="3"/>
    <x v="2"/>
  </r>
  <r>
    <x v="13"/>
    <x v="1"/>
    <x v="4"/>
    <x v="2"/>
  </r>
  <r>
    <x v="13"/>
    <x v="1"/>
    <x v="5"/>
    <x v="2"/>
  </r>
  <r>
    <x v="13"/>
    <x v="1"/>
    <x v="6"/>
    <x v="2"/>
  </r>
  <r>
    <x v="13"/>
    <x v="0"/>
    <x v="7"/>
    <x v="2"/>
  </r>
  <r>
    <x v="13"/>
    <x v="1"/>
    <x v="8"/>
    <x v="2"/>
  </r>
  <r>
    <x v="13"/>
    <x v="0"/>
    <x v="9"/>
    <x v="2"/>
  </r>
  <r>
    <x v="13"/>
    <x v="1"/>
    <x v="0"/>
    <x v="3"/>
  </r>
  <r>
    <x v="13"/>
    <x v="1"/>
    <x v="1"/>
    <x v="3"/>
  </r>
  <r>
    <x v="13"/>
    <x v="1"/>
    <x v="2"/>
    <x v="3"/>
  </r>
  <r>
    <x v="13"/>
    <x v="1"/>
    <x v="3"/>
    <x v="3"/>
  </r>
  <r>
    <x v="13"/>
    <x v="1"/>
    <x v="4"/>
    <x v="3"/>
  </r>
  <r>
    <x v="13"/>
    <x v="1"/>
    <x v="5"/>
    <x v="3"/>
  </r>
  <r>
    <x v="13"/>
    <x v="0"/>
    <x v="6"/>
    <x v="3"/>
  </r>
  <r>
    <x v="13"/>
    <x v="1"/>
    <x v="7"/>
    <x v="3"/>
  </r>
  <r>
    <x v="13"/>
    <x v="0"/>
    <x v="8"/>
    <x v="3"/>
  </r>
  <r>
    <x v="13"/>
    <x v="1"/>
    <x v="9"/>
    <x v="3"/>
  </r>
  <r>
    <x v="14"/>
    <x v="1"/>
    <x v="0"/>
    <x v="0"/>
  </r>
  <r>
    <x v="14"/>
    <x v="1"/>
    <x v="1"/>
    <x v="0"/>
  </r>
  <r>
    <x v="14"/>
    <x v="0"/>
    <x v="2"/>
    <x v="0"/>
  </r>
  <r>
    <x v="14"/>
    <x v="1"/>
    <x v="3"/>
    <x v="0"/>
  </r>
  <r>
    <x v="14"/>
    <x v="0"/>
    <x v="4"/>
    <x v="0"/>
  </r>
  <r>
    <x v="14"/>
    <x v="1"/>
    <x v="5"/>
    <x v="0"/>
  </r>
  <r>
    <x v="14"/>
    <x v="1"/>
    <x v="6"/>
    <x v="0"/>
  </r>
  <r>
    <x v="14"/>
    <x v="1"/>
    <x v="7"/>
    <x v="0"/>
  </r>
  <r>
    <x v="14"/>
    <x v="1"/>
    <x v="8"/>
    <x v="0"/>
  </r>
  <r>
    <x v="14"/>
    <x v="1"/>
    <x v="9"/>
    <x v="0"/>
  </r>
  <r>
    <x v="14"/>
    <x v="0"/>
    <x v="0"/>
    <x v="1"/>
  </r>
  <r>
    <x v="14"/>
    <x v="1"/>
    <x v="1"/>
    <x v="1"/>
  </r>
  <r>
    <x v="14"/>
    <x v="1"/>
    <x v="2"/>
    <x v="1"/>
  </r>
  <r>
    <x v="14"/>
    <x v="0"/>
    <x v="3"/>
    <x v="1"/>
  </r>
  <r>
    <x v="14"/>
    <x v="1"/>
    <x v="4"/>
    <x v="1"/>
  </r>
  <r>
    <x v="14"/>
    <x v="0"/>
    <x v="5"/>
    <x v="1"/>
  </r>
  <r>
    <x v="14"/>
    <x v="1"/>
    <x v="6"/>
    <x v="1"/>
  </r>
  <r>
    <x v="14"/>
    <x v="1"/>
    <x v="7"/>
    <x v="1"/>
  </r>
  <r>
    <x v="14"/>
    <x v="0"/>
    <x v="8"/>
    <x v="1"/>
  </r>
  <r>
    <x v="14"/>
    <x v="1"/>
    <x v="9"/>
    <x v="1"/>
  </r>
  <r>
    <x v="14"/>
    <x v="1"/>
    <x v="0"/>
    <x v="2"/>
  </r>
  <r>
    <x v="14"/>
    <x v="0"/>
    <x v="1"/>
    <x v="2"/>
  </r>
  <r>
    <x v="14"/>
    <x v="1"/>
    <x v="2"/>
    <x v="2"/>
  </r>
  <r>
    <x v="14"/>
    <x v="1"/>
    <x v="3"/>
    <x v="2"/>
  </r>
  <r>
    <x v="14"/>
    <x v="1"/>
    <x v="4"/>
    <x v="2"/>
  </r>
  <r>
    <x v="14"/>
    <x v="1"/>
    <x v="5"/>
    <x v="2"/>
  </r>
  <r>
    <x v="14"/>
    <x v="1"/>
    <x v="6"/>
    <x v="2"/>
  </r>
  <r>
    <x v="14"/>
    <x v="0"/>
    <x v="7"/>
    <x v="2"/>
  </r>
  <r>
    <x v="14"/>
    <x v="1"/>
    <x v="8"/>
    <x v="2"/>
  </r>
  <r>
    <x v="14"/>
    <x v="0"/>
    <x v="9"/>
    <x v="2"/>
  </r>
  <r>
    <x v="14"/>
    <x v="1"/>
    <x v="0"/>
    <x v="3"/>
  </r>
  <r>
    <x v="14"/>
    <x v="1"/>
    <x v="1"/>
    <x v="3"/>
  </r>
  <r>
    <x v="14"/>
    <x v="1"/>
    <x v="2"/>
    <x v="3"/>
  </r>
  <r>
    <x v="14"/>
    <x v="1"/>
    <x v="3"/>
    <x v="3"/>
  </r>
  <r>
    <x v="14"/>
    <x v="1"/>
    <x v="4"/>
    <x v="3"/>
  </r>
  <r>
    <x v="14"/>
    <x v="1"/>
    <x v="5"/>
    <x v="3"/>
  </r>
  <r>
    <x v="14"/>
    <x v="0"/>
    <x v="6"/>
    <x v="3"/>
  </r>
  <r>
    <x v="14"/>
    <x v="1"/>
    <x v="7"/>
    <x v="3"/>
  </r>
  <r>
    <x v="14"/>
    <x v="1"/>
    <x v="8"/>
    <x v="3"/>
  </r>
  <r>
    <x v="14"/>
    <x v="1"/>
    <x v="9"/>
    <x v="3"/>
  </r>
  <r>
    <x v="15"/>
    <x v="1"/>
    <x v="0"/>
    <x v="0"/>
  </r>
  <r>
    <x v="15"/>
    <x v="1"/>
    <x v="1"/>
    <x v="0"/>
  </r>
  <r>
    <x v="15"/>
    <x v="1"/>
    <x v="2"/>
    <x v="0"/>
  </r>
  <r>
    <x v="15"/>
    <x v="1"/>
    <x v="3"/>
    <x v="0"/>
  </r>
  <r>
    <x v="15"/>
    <x v="1"/>
    <x v="4"/>
    <x v="0"/>
  </r>
  <r>
    <x v="15"/>
    <x v="0"/>
    <x v="5"/>
    <x v="0"/>
  </r>
  <r>
    <x v="15"/>
    <x v="1"/>
    <x v="6"/>
    <x v="0"/>
  </r>
  <r>
    <x v="15"/>
    <x v="1"/>
    <x v="7"/>
    <x v="0"/>
  </r>
  <r>
    <x v="15"/>
    <x v="0"/>
    <x v="8"/>
    <x v="0"/>
  </r>
  <r>
    <x v="15"/>
    <x v="1"/>
    <x v="9"/>
    <x v="0"/>
  </r>
  <r>
    <x v="15"/>
    <x v="0"/>
    <x v="0"/>
    <x v="1"/>
  </r>
  <r>
    <x v="15"/>
    <x v="1"/>
    <x v="1"/>
    <x v="1"/>
  </r>
  <r>
    <x v="15"/>
    <x v="0"/>
    <x v="2"/>
    <x v="1"/>
  </r>
  <r>
    <x v="15"/>
    <x v="1"/>
    <x v="3"/>
    <x v="1"/>
  </r>
  <r>
    <x v="15"/>
    <x v="0"/>
    <x v="4"/>
    <x v="1"/>
  </r>
  <r>
    <x v="15"/>
    <x v="1"/>
    <x v="5"/>
    <x v="1"/>
  </r>
  <r>
    <x v="15"/>
    <x v="1"/>
    <x v="6"/>
    <x v="1"/>
  </r>
  <r>
    <x v="15"/>
    <x v="0"/>
    <x v="7"/>
    <x v="1"/>
  </r>
  <r>
    <x v="15"/>
    <x v="1"/>
    <x v="8"/>
    <x v="1"/>
  </r>
  <r>
    <x v="15"/>
    <x v="1"/>
    <x v="9"/>
    <x v="1"/>
  </r>
  <r>
    <x v="15"/>
    <x v="1"/>
    <x v="0"/>
    <x v="2"/>
  </r>
  <r>
    <x v="15"/>
    <x v="1"/>
    <x v="1"/>
    <x v="2"/>
  </r>
  <r>
    <x v="15"/>
    <x v="1"/>
    <x v="2"/>
    <x v="2"/>
  </r>
  <r>
    <x v="15"/>
    <x v="0"/>
    <x v="3"/>
    <x v="2"/>
  </r>
  <r>
    <x v="15"/>
    <x v="1"/>
    <x v="4"/>
    <x v="2"/>
  </r>
  <r>
    <x v="15"/>
    <x v="1"/>
    <x v="5"/>
    <x v="2"/>
  </r>
  <r>
    <x v="15"/>
    <x v="0"/>
    <x v="6"/>
    <x v="2"/>
  </r>
  <r>
    <x v="15"/>
    <x v="1"/>
    <x v="7"/>
    <x v="2"/>
  </r>
  <r>
    <x v="15"/>
    <x v="1"/>
    <x v="8"/>
    <x v="2"/>
  </r>
  <r>
    <x v="15"/>
    <x v="0"/>
    <x v="9"/>
    <x v="2"/>
  </r>
  <r>
    <x v="15"/>
    <x v="1"/>
    <x v="0"/>
    <x v="3"/>
  </r>
  <r>
    <x v="15"/>
    <x v="0"/>
    <x v="1"/>
    <x v="3"/>
  </r>
  <r>
    <x v="15"/>
    <x v="1"/>
    <x v="2"/>
    <x v="3"/>
  </r>
  <r>
    <x v="15"/>
    <x v="1"/>
    <x v="3"/>
    <x v="3"/>
  </r>
  <r>
    <x v="15"/>
    <x v="1"/>
    <x v="4"/>
    <x v="3"/>
  </r>
  <r>
    <x v="15"/>
    <x v="1"/>
    <x v="5"/>
    <x v="3"/>
  </r>
  <r>
    <x v="15"/>
    <x v="1"/>
    <x v="6"/>
    <x v="3"/>
  </r>
  <r>
    <x v="15"/>
    <x v="1"/>
    <x v="7"/>
    <x v="3"/>
  </r>
  <r>
    <x v="15"/>
    <x v="1"/>
    <x v="8"/>
    <x v="3"/>
  </r>
  <r>
    <x v="15"/>
    <x v="1"/>
    <x v="9"/>
    <x v="3"/>
  </r>
  <r>
    <x v="16"/>
    <x v="1"/>
    <x v="0"/>
    <x v="0"/>
  </r>
  <r>
    <x v="16"/>
    <x v="1"/>
    <x v="1"/>
    <x v="0"/>
  </r>
  <r>
    <x v="16"/>
    <x v="0"/>
    <x v="2"/>
    <x v="0"/>
  </r>
  <r>
    <x v="16"/>
    <x v="1"/>
    <x v="3"/>
    <x v="0"/>
  </r>
  <r>
    <x v="16"/>
    <x v="0"/>
    <x v="4"/>
    <x v="0"/>
  </r>
  <r>
    <x v="16"/>
    <x v="1"/>
    <x v="5"/>
    <x v="0"/>
  </r>
  <r>
    <x v="16"/>
    <x v="1"/>
    <x v="6"/>
    <x v="0"/>
  </r>
  <r>
    <x v="16"/>
    <x v="1"/>
    <x v="7"/>
    <x v="0"/>
  </r>
  <r>
    <x v="16"/>
    <x v="1"/>
    <x v="8"/>
    <x v="0"/>
  </r>
  <r>
    <x v="16"/>
    <x v="1"/>
    <x v="9"/>
    <x v="0"/>
  </r>
  <r>
    <x v="16"/>
    <x v="0"/>
    <x v="0"/>
    <x v="1"/>
  </r>
  <r>
    <x v="16"/>
    <x v="1"/>
    <x v="1"/>
    <x v="1"/>
  </r>
  <r>
    <x v="16"/>
    <x v="1"/>
    <x v="2"/>
    <x v="1"/>
  </r>
  <r>
    <x v="16"/>
    <x v="0"/>
    <x v="3"/>
    <x v="1"/>
  </r>
  <r>
    <x v="16"/>
    <x v="1"/>
    <x v="4"/>
    <x v="1"/>
  </r>
  <r>
    <x v="16"/>
    <x v="0"/>
    <x v="5"/>
    <x v="1"/>
  </r>
  <r>
    <x v="16"/>
    <x v="1"/>
    <x v="6"/>
    <x v="1"/>
  </r>
  <r>
    <x v="16"/>
    <x v="1"/>
    <x v="7"/>
    <x v="1"/>
  </r>
  <r>
    <x v="16"/>
    <x v="1"/>
    <x v="8"/>
    <x v="1"/>
  </r>
  <r>
    <x v="16"/>
    <x v="1"/>
    <x v="9"/>
    <x v="1"/>
  </r>
  <r>
    <x v="16"/>
    <x v="1"/>
    <x v="0"/>
    <x v="2"/>
  </r>
  <r>
    <x v="16"/>
    <x v="1"/>
    <x v="1"/>
    <x v="2"/>
  </r>
  <r>
    <x v="16"/>
    <x v="1"/>
    <x v="2"/>
    <x v="2"/>
  </r>
  <r>
    <x v="16"/>
    <x v="1"/>
    <x v="3"/>
    <x v="2"/>
  </r>
  <r>
    <x v="16"/>
    <x v="1"/>
    <x v="4"/>
    <x v="2"/>
  </r>
  <r>
    <x v="16"/>
    <x v="1"/>
    <x v="5"/>
    <x v="2"/>
  </r>
  <r>
    <x v="16"/>
    <x v="0"/>
    <x v="6"/>
    <x v="2"/>
  </r>
  <r>
    <x v="16"/>
    <x v="0"/>
    <x v="7"/>
    <x v="2"/>
  </r>
  <r>
    <x v="16"/>
    <x v="0"/>
    <x v="8"/>
    <x v="2"/>
  </r>
  <r>
    <x v="16"/>
    <x v="0"/>
    <x v="9"/>
    <x v="2"/>
  </r>
  <r>
    <x v="16"/>
    <x v="1"/>
    <x v="0"/>
    <x v="3"/>
  </r>
  <r>
    <x v="16"/>
    <x v="0"/>
    <x v="1"/>
    <x v="3"/>
  </r>
  <r>
    <x v="16"/>
    <x v="1"/>
    <x v="2"/>
    <x v="3"/>
  </r>
  <r>
    <x v="16"/>
    <x v="1"/>
    <x v="3"/>
    <x v="3"/>
  </r>
  <r>
    <x v="16"/>
    <x v="1"/>
    <x v="4"/>
    <x v="3"/>
  </r>
  <r>
    <x v="16"/>
    <x v="1"/>
    <x v="5"/>
    <x v="3"/>
  </r>
  <r>
    <x v="16"/>
    <x v="1"/>
    <x v="6"/>
    <x v="3"/>
  </r>
  <r>
    <x v="16"/>
    <x v="1"/>
    <x v="7"/>
    <x v="3"/>
  </r>
  <r>
    <x v="16"/>
    <x v="1"/>
    <x v="8"/>
    <x v="3"/>
  </r>
  <r>
    <x v="16"/>
    <x v="1"/>
    <x v="9"/>
    <x v="3"/>
  </r>
  <r>
    <x v="17"/>
    <x v="0"/>
    <x v="0"/>
    <x v="0"/>
  </r>
  <r>
    <x v="17"/>
    <x v="1"/>
    <x v="1"/>
    <x v="0"/>
  </r>
  <r>
    <x v="17"/>
    <x v="1"/>
    <x v="2"/>
    <x v="0"/>
  </r>
  <r>
    <x v="17"/>
    <x v="1"/>
    <x v="3"/>
    <x v="0"/>
  </r>
  <r>
    <x v="17"/>
    <x v="1"/>
    <x v="4"/>
    <x v="0"/>
  </r>
  <r>
    <x v="17"/>
    <x v="0"/>
    <x v="5"/>
    <x v="0"/>
  </r>
  <r>
    <x v="17"/>
    <x v="1"/>
    <x v="6"/>
    <x v="0"/>
  </r>
  <r>
    <x v="17"/>
    <x v="0"/>
    <x v="7"/>
    <x v="0"/>
  </r>
  <r>
    <x v="17"/>
    <x v="1"/>
    <x v="8"/>
    <x v="0"/>
  </r>
  <r>
    <x v="17"/>
    <x v="1"/>
    <x v="9"/>
    <x v="0"/>
  </r>
  <r>
    <x v="17"/>
    <x v="1"/>
    <x v="0"/>
    <x v="1"/>
  </r>
  <r>
    <x v="17"/>
    <x v="1"/>
    <x v="1"/>
    <x v="1"/>
  </r>
  <r>
    <x v="17"/>
    <x v="0"/>
    <x v="2"/>
    <x v="1"/>
  </r>
  <r>
    <x v="17"/>
    <x v="0"/>
    <x v="3"/>
    <x v="1"/>
  </r>
  <r>
    <x v="17"/>
    <x v="0"/>
    <x v="4"/>
    <x v="1"/>
  </r>
  <r>
    <x v="17"/>
    <x v="1"/>
    <x v="5"/>
    <x v="1"/>
  </r>
  <r>
    <x v="17"/>
    <x v="1"/>
    <x v="6"/>
    <x v="1"/>
  </r>
  <r>
    <x v="17"/>
    <x v="1"/>
    <x v="7"/>
    <x v="1"/>
  </r>
  <r>
    <x v="17"/>
    <x v="0"/>
    <x v="8"/>
    <x v="1"/>
  </r>
  <r>
    <x v="17"/>
    <x v="1"/>
    <x v="9"/>
    <x v="1"/>
  </r>
  <r>
    <x v="17"/>
    <x v="1"/>
    <x v="0"/>
    <x v="2"/>
  </r>
  <r>
    <x v="17"/>
    <x v="0"/>
    <x v="1"/>
    <x v="2"/>
  </r>
  <r>
    <x v="17"/>
    <x v="1"/>
    <x v="2"/>
    <x v="2"/>
  </r>
  <r>
    <x v="17"/>
    <x v="1"/>
    <x v="3"/>
    <x v="2"/>
  </r>
  <r>
    <x v="17"/>
    <x v="1"/>
    <x v="4"/>
    <x v="2"/>
  </r>
  <r>
    <x v="17"/>
    <x v="1"/>
    <x v="5"/>
    <x v="2"/>
  </r>
  <r>
    <x v="17"/>
    <x v="1"/>
    <x v="6"/>
    <x v="2"/>
  </r>
  <r>
    <x v="17"/>
    <x v="1"/>
    <x v="7"/>
    <x v="2"/>
  </r>
  <r>
    <x v="17"/>
    <x v="1"/>
    <x v="8"/>
    <x v="2"/>
  </r>
  <r>
    <x v="17"/>
    <x v="0"/>
    <x v="9"/>
    <x v="2"/>
  </r>
  <r>
    <x v="17"/>
    <x v="1"/>
    <x v="0"/>
    <x v="3"/>
  </r>
  <r>
    <x v="17"/>
    <x v="1"/>
    <x v="1"/>
    <x v="3"/>
  </r>
  <r>
    <x v="17"/>
    <x v="1"/>
    <x v="2"/>
    <x v="3"/>
  </r>
  <r>
    <x v="17"/>
    <x v="1"/>
    <x v="3"/>
    <x v="3"/>
  </r>
  <r>
    <x v="17"/>
    <x v="1"/>
    <x v="4"/>
    <x v="3"/>
  </r>
  <r>
    <x v="17"/>
    <x v="1"/>
    <x v="5"/>
    <x v="3"/>
  </r>
  <r>
    <x v="17"/>
    <x v="0"/>
    <x v="6"/>
    <x v="3"/>
  </r>
  <r>
    <x v="17"/>
    <x v="1"/>
    <x v="7"/>
    <x v="3"/>
  </r>
  <r>
    <x v="17"/>
    <x v="1"/>
    <x v="8"/>
    <x v="3"/>
  </r>
  <r>
    <x v="17"/>
    <x v="1"/>
    <x v="9"/>
    <x v="3"/>
  </r>
  <r>
    <x v="18"/>
    <x v="1"/>
    <x v="0"/>
    <x v="0"/>
  </r>
  <r>
    <x v="18"/>
    <x v="1"/>
    <x v="1"/>
    <x v="0"/>
  </r>
  <r>
    <x v="18"/>
    <x v="1"/>
    <x v="2"/>
    <x v="0"/>
  </r>
  <r>
    <x v="18"/>
    <x v="1"/>
    <x v="3"/>
    <x v="0"/>
  </r>
  <r>
    <x v="18"/>
    <x v="1"/>
    <x v="4"/>
    <x v="0"/>
  </r>
  <r>
    <x v="18"/>
    <x v="0"/>
    <x v="5"/>
    <x v="0"/>
  </r>
  <r>
    <x v="18"/>
    <x v="1"/>
    <x v="6"/>
    <x v="0"/>
  </r>
  <r>
    <x v="18"/>
    <x v="0"/>
    <x v="7"/>
    <x v="0"/>
  </r>
  <r>
    <x v="18"/>
    <x v="1"/>
    <x v="8"/>
    <x v="0"/>
  </r>
  <r>
    <x v="18"/>
    <x v="1"/>
    <x v="9"/>
    <x v="0"/>
  </r>
  <r>
    <x v="18"/>
    <x v="0"/>
    <x v="0"/>
    <x v="1"/>
  </r>
  <r>
    <x v="18"/>
    <x v="1"/>
    <x v="1"/>
    <x v="1"/>
  </r>
  <r>
    <x v="18"/>
    <x v="0"/>
    <x v="2"/>
    <x v="1"/>
  </r>
  <r>
    <x v="18"/>
    <x v="0"/>
    <x v="3"/>
    <x v="1"/>
  </r>
  <r>
    <x v="18"/>
    <x v="0"/>
    <x v="4"/>
    <x v="1"/>
  </r>
  <r>
    <x v="18"/>
    <x v="1"/>
    <x v="5"/>
    <x v="1"/>
  </r>
  <r>
    <x v="18"/>
    <x v="1"/>
    <x v="6"/>
    <x v="1"/>
  </r>
  <r>
    <x v="18"/>
    <x v="1"/>
    <x v="7"/>
    <x v="1"/>
  </r>
  <r>
    <x v="18"/>
    <x v="1"/>
    <x v="8"/>
    <x v="1"/>
  </r>
  <r>
    <x v="18"/>
    <x v="1"/>
    <x v="9"/>
    <x v="1"/>
  </r>
  <r>
    <x v="18"/>
    <x v="1"/>
    <x v="0"/>
    <x v="2"/>
  </r>
  <r>
    <x v="18"/>
    <x v="0"/>
    <x v="1"/>
    <x v="2"/>
  </r>
  <r>
    <x v="18"/>
    <x v="1"/>
    <x v="2"/>
    <x v="2"/>
  </r>
  <r>
    <x v="18"/>
    <x v="1"/>
    <x v="3"/>
    <x v="2"/>
  </r>
  <r>
    <x v="18"/>
    <x v="1"/>
    <x v="4"/>
    <x v="2"/>
  </r>
  <r>
    <x v="18"/>
    <x v="1"/>
    <x v="5"/>
    <x v="2"/>
  </r>
  <r>
    <x v="18"/>
    <x v="1"/>
    <x v="6"/>
    <x v="2"/>
  </r>
  <r>
    <x v="18"/>
    <x v="1"/>
    <x v="7"/>
    <x v="2"/>
  </r>
  <r>
    <x v="18"/>
    <x v="0"/>
    <x v="8"/>
    <x v="2"/>
  </r>
  <r>
    <x v="18"/>
    <x v="0"/>
    <x v="9"/>
    <x v="2"/>
  </r>
  <r>
    <x v="18"/>
    <x v="1"/>
    <x v="0"/>
    <x v="3"/>
  </r>
  <r>
    <x v="18"/>
    <x v="1"/>
    <x v="1"/>
    <x v="3"/>
  </r>
  <r>
    <x v="18"/>
    <x v="1"/>
    <x v="2"/>
    <x v="3"/>
  </r>
  <r>
    <x v="18"/>
    <x v="1"/>
    <x v="3"/>
    <x v="3"/>
  </r>
  <r>
    <x v="18"/>
    <x v="1"/>
    <x v="4"/>
    <x v="3"/>
  </r>
  <r>
    <x v="18"/>
    <x v="1"/>
    <x v="5"/>
    <x v="3"/>
  </r>
  <r>
    <x v="18"/>
    <x v="0"/>
    <x v="6"/>
    <x v="3"/>
  </r>
  <r>
    <x v="18"/>
    <x v="1"/>
    <x v="7"/>
    <x v="3"/>
  </r>
  <r>
    <x v="18"/>
    <x v="1"/>
    <x v="8"/>
    <x v="3"/>
  </r>
  <r>
    <x v="18"/>
    <x v="1"/>
    <x v="9"/>
    <x v="3"/>
  </r>
  <r>
    <x v="19"/>
    <x v="1"/>
    <x v="0"/>
    <x v="0"/>
  </r>
  <r>
    <x v="19"/>
    <x v="1"/>
    <x v="1"/>
    <x v="0"/>
  </r>
  <r>
    <x v="19"/>
    <x v="0"/>
    <x v="2"/>
    <x v="0"/>
  </r>
  <r>
    <x v="19"/>
    <x v="1"/>
    <x v="3"/>
    <x v="0"/>
  </r>
  <r>
    <x v="19"/>
    <x v="1"/>
    <x v="4"/>
    <x v="0"/>
  </r>
  <r>
    <x v="19"/>
    <x v="1"/>
    <x v="5"/>
    <x v="0"/>
  </r>
  <r>
    <x v="19"/>
    <x v="1"/>
    <x v="6"/>
    <x v="0"/>
  </r>
  <r>
    <x v="19"/>
    <x v="1"/>
    <x v="7"/>
    <x v="0"/>
  </r>
  <r>
    <x v="19"/>
    <x v="0"/>
    <x v="8"/>
    <x v="0"/>
  </r>
  <r>
    <x v="19"/>
    <x v="0"/>
    <x v="9"/>
    <x v="0"/>
  </r>
  <r>
    <x v="19"/>
    <x v="0"/>
    <x v="0"/>
    <x v="1"/>
  </r>
  <r>
    <x v="19"/>
    <x v="1"/>
    <x v="1"/>
    <x v="1"/>
  </r>
  <r>
    <x v="19"/>
    <x v="1"/>
    <x v="2"/>
    <x v="1"/>
  </r>
  <r>
    <x v="19"/>
    <x v="1"/>
    <x v="3"/>
    <x v="1"/>
  </r>
  <r>
    <x v="19"/>
    <x v="1"/>
    <x v="4"/>
    <x v="1"/>
  </r>
  <r>
    <x v="19"/>
    <x v="0"/>
    <x v="5"/>
    <x v="1"/>
  </r>
  <r>
    <x v="19"/>
    <x v="1"/>
    <x v="6"/>
    <x v="1"/>
  </r>
  <r>
    <x v="19"/>
    <x v="0"/>
    <x v="7"/>
    <x v="1"/>
  </r>
  <r>
    <x v="19"/>
    <x v="1"/>
    <x v="8"/>
    <x v="1"/>
  </r>
  <r>
    <x v="19"/>
    <x v="1"/>
    <x v="9"/>
    <x v="1"/>
  </r>
  <r>
    <x v="19"/>
    <x v="1"/>
    <x v="0"/>
    <x v="2"/>
  </r>
  <r>
    <x v="19"/>
    <x v="1"/>
    <x v="1"/>
    <x v="2"/>
  </r>
  <r>
    <x v="19"/>
    <x v="1"/>
    <x v="2"/>
    <x v="2"/>
  </r>
  <r>
    <x v="19"/>
    <x v="1"/>
    <x v="3"/>
    <x v="2"/>
  </r>
  <r>
    <x v="19"/>
    <x v="0"/>
    <x v="4"/>
    <x v="2"/>
  </r>
  <r>
    <x v="19"/>
    <x v="1"/>
    <x v="5"/>
    <x v="2"/>
  </r>
  <r>
    <x v="19"/>
    <x v="0"/>
    <x v="6"/>
    <x v="2"/>
  </r>
  <r>
    <x v="19"/>
    <x v="1"/>
    <x v="7"/>
    <x v="2"/>
  </r>
  <r>
    <x v="19"/>
    <x v="1"/>
    <x v="8"/>
    <x v="2"/>
  </r>
  <r>
    <x v="19"/>
    <x v="1"/>
    <x v="9"/>
    <x v="2"/>
  </r>
  <r>
    <x v="19"/>
    <x v="1"/>
    <x v="0"/>
    <x v="3"/>
  </r>
  <r>
    <x v="19"/>
    <x v="0"/>
    <x v="1"/>
    <x v="3"/>
  </r>
  <r>
    <x v="19"/>
    <x v="1"/>
    <x v="2"/>
    <x v="3"/>
  </r>
  <r>
    <x v="19"/>
    <x v="0"/>
    <x v="3"/>
    <x v="3"/>
  </r>
  <r>
    <x v="19"/>
    <x v="1"/>
    <x v="4"/>
    <x v="3"/>
  </r>
  <r>
    <x v="19"/>
    <x v="1"/>
    <x v="5"/>
    <x v="3"/>
  </r>
  <r>
    <x v="19"/>
    <x v="1"/>
    <x v="6"/>
    <x v="3"/>
  </r>
  <r>
    <x v="19"/>
    <x v="1"/>
    <x v="7"/>
    <x v="3"/>
  </r>
  <r>
    <x v="19"/>
    <x v="1"/>
    <x v="8"/>
    <x v="3"/>
  </r>
  <r>
    <x v="19"/>
    <x v="1"/>
    <x v="9"/>
    <x v="3"/>
  </r>
  <r>
    <x v="20"/>
    <x v="1"/>
    <x v="0"/>
    <x v="0"/>
  </r>
  <r>
    <x v="20"/>
    <x v="1"/>
    <x v="1"/>
    <x v="0"/>
  </r>
  <r>
    <x v="20"/>
    <x v="1"/>
    <x v="2"/>
    <x v="0"/>
  </r>
  <r>
    <x v="20"/>
    <x v="0"/>
    <x v="3"/>
    <x v="0"/>
  </r>
  <r>
    <x v="20"/>
    <x v="1"/>
    <x v="4"/>
    <x v="0"/>
  </r>
  <r>
    <x v="20"/>
    <x v="0"/>
    <x v="5"/>
    <x v="0"/>
  </r>
  <r>
    <x v="20"/>
    <x v="1"/>
    <x v="6"/>
    <x v="0"/>
  </r>
  <r>
    <x v="20"/>
    <x v="1"/>
    <x v="7"/>
    <x v="0"/>
  </r>
  <r>
    <x v="20"/>
    <x v="1"/>
    <x v="8"/>
    <x v="0"/>
  </r>
  <r>
    <x v="20"/>
    <x v="1"/>
    <x v="9"/>
    <x v="0"/>
  </r>
  <r>
    <x v="20"/>
    <x v="0"/>
    <x v="0"/>
    <x v="1"/>
  </r>
  <r>
    <x v="20"/>
    <x v="1"/>
    <x v="1"/>
    <x v="1"/>
  </r>
  <r>
    <x v="20"/>
    <x v="0"/>
    <x v="2"/>
    <x v="1"/>
  </r>
  <r>
    <x v="20"/>
    <x v="1"/>
    <x v="3"/>
    <x v="1"/>
  </r>
  <r>
    <x v="20"/>
    <x v="0"/>
    <x v="4"/>
    <x v="1"/>
  </r>
  <r>
    <x v="20"/>
    <x v="1"/>
    <x v="5"/>
    <x v="1"/>
  </r>
  <r>
    <x v="20"/>
    <x v="1"/>
    <x v="6"/>
    <x v="1"/>
  </r>
  <r>
    <x v="20"/>
    <x v="0"/>
    <x v="7"/>
    <x v="1"/>
  </r>
  <r>
    <x v="20"/>
    <x v="0"/>
    <x v="8"/>
    <x v="1"/>
  </r>
  <r>
    <x v="20"/>
    <x v="1"/>
    <x v="9"/>
    <x v="1"/>
  </r>
  <r>
    <x v="20"/>
    <x v="1"/>
    <x v="0"/>
    <x v="2"/>
  </r>
  <r>
    <x v="20"/>
    <x v="0"/>
    <x v="1"/>
    <x v="2"/>
  </r>
  <r>
    <x v="20"/>
    <x v="1"/>
    <x v="2"/>
    <x v="2"/>
  </r>
  <r>
    <x v="20"/>
    <x v="1"/>
    <x v="3"/>
    <x v="2"/>
  </r>
  <r>
    <x v="20"/>
    <x v="1"/>
    <x v="4"/>
    <x v="2"/>
  </r>
  <r>
    <x v="20"/>
    <x v="1"/>
    <x v="5"/>
    <x v="2"/>
  </r>
  <r>
    <x v="20"/>
    <x v="1"/>
    <x v="6"/>
    <x v="2"/>
  </r>
  <r>
    <x v="20"/>
    <x v="1"/>
    <x v="7"/>
    <x v="2"/>
  </r>
  <r>
    <x v="20"/>
    <x v="1"/>
    <x v="8"/>
    <x v="2"/>
  </r>
  <r>
    <x v="20"/>
    <x v="0"/>
    <x v="9"/>
    <x v="2"/>
  </r>
  <r>
    <x v="20"/>
    <x v="1"/>
    <x v="0"/>
    <x v="3"/>
  </r>
  <r>
    <x v="20"/>
    <x v="1"/>
    <x v="1"/>
    <x v="3"/>
  </r>
  <r>
    <x v="20"/>
    <x v="1"/>
    <x v="2"/>
    <x v="3"/>
  </r>
  <r>
    <x v="20"/>
    <x v="1"/>
    <x v="3"/>
    <x v="3"/>
  </r>
  <r>
    <x v="20"/>
    <x v="1"/>
    <x v="4"/>
    <x v="3"/>
  </r>
  <r>
    <x v="20"/>
    <x v="1"/>
    <x v="5"/>
    <x v="3"/>
  </r>
  <r>
    <x v="20"/>
    <x v="0"/>
    <x v="6"/>
    <x v="3"/>
  </r>
  <r>
    <x v="20"/>
    <x v="1"/>
    <x v="7"/>
    <x v="3"/>
  </r>
  <r>
    <x v="20"/>
    <x v="1"/>
    <x v="8"/>
    <x v="3"/>
  </r>
  <r>
    <x v="20"/>
    <x v="1"/>
    <x v="9"/>
    <x v="3"/>
  </r>
  <r>
    <x v="21"/>
    <x v="1"/>
    <x v="0"/>
    <x v="0"/>
  </r>
  <r>
    <x v="21"/>
    <x v="1"/>
    <x v="1"/>
    <x v="0"/>
  </r>
  <r>
    <x v="21"/>
    <x v="1"/>
    <x v="2"/>
    <x v="0"/>
  </r>
  <r>
    <x v="21"/>
    <x v="0"/>
    <x v="3"/>
    <x v="0"/>
  </r>
  <r>
    <x v="21"/>
    <x v="1"/>
    <x v="4"/>
    <x v="0"/>
  </r>
  <r>
    <x v="21"/>
    <x v="0"/>
    <x v="5"/>
    <x v="0"/>
  </r>
  <r>
    <x v="21"/>
    <x v="1"/>
    <x v="6"/>
    <x v="0"/>
  </r>
  <r>
    <x v="21"/>
    <x v="1"/>
    <x v="7"/>
    <x v="0"/>
  </r>
  <r>
    <x v="21"/>
    <x v="1"/>
    <x v="8"/>
    <x v="0"/>
  </r>
  <r>
    <x v="21"/>
    <x v="1"/>
    <x v="9"/>
    <x v="0"/>
  </r>
  <r>
    <x v="21"/>
    <x v="1"/>
    <x v="0"/>
    <x v="1"/>
  </r>
  <r>
    <x v="21"/>
    <x v="1"/>
    <x v="1"/>
    <x v="1"/>
  </r>
  <r>
    <x v="21"/>
    <x v="0"/>
    <x v="2"/>
    <x v="1"/>
  </r>
  <r>
    <x v="21"/>
    <x v="1"/>
    <x v="3"/>
    <x v="1"/>
  </r>
  <r>
    <x v="21"/>
    <x v="0"/>
    <x v="4"/>
    <x v="1"/>
  </r>
  <r>
    <x v="21"/>
    <x v="1"/>
    <x v="5"/>
    <x v="1"/>
  </r>
  <r>
    <x v="21"/>
    <x v="1"/>
    <x v="6"/>
    <x v="1"/>
  </r>
  <r>
    <x v="21"/>
    <x v="0"/>
    <x v="7"/>
    <x v="1"/>
  </r>
  <r>
    <x v="21"/>
    <x v="1"/>
    <x v="8"/>
    <x v="1"/>
  </r>
  <r>
    <x v="21"/>
    <x v="0"/>
    <x v="9"/>
    <x v="1"/>
  </r>
  <r>
    <x v="21"/>
    <x v="0"/>
    <x v="0"/>
    <x v="2"/>
  </r>
  <r>
    <x v="21"/>
    <x v="0"/>
    <x v="1"/>
    <x v="2"/>
  </r>
  <r>
    <x v="21"/>
    <x v="1"/>
    <x v="2"/>
    <x v="2"/>
  </r>
  <r>
    <x v="21"/>
    <x v="1"/>
    <x v="3"/>
    <x v="2"/>
  </r>
  <r>
    <x v="21"/>
    <x v="1"/>
    <x v="4"/>
    <x v="2"/>
  </r>
  <r>
    <x v="21"/>
    <x v="1"/>
    <x v="5"/>
    <x v="2"/>
  </r>
  <r>
    <x v="21"/>
    <x v="1"/>
    <x v="6"/>
    <x v="2"/>
  </r>
  <r>
    <x v="21"/>
    <x v="1"/>
    <x v="7"/>
    <x v="2"/>
  </r>
  <r>
    <x v="21"/>
    <x v="0"/>
    <x v="8"/>
    <x v="2"/>
  </r>
  <r>
    <x v="21"/>
    <x v="1"/>
    <x v="9"/>
    <x v="2"/>
  </r>
  <r>
    <x v="21"/>
    <x v="1"/>
    <x v="0"/>
    <x v="3"/>
  </r>
  <r>
    <x v="21"/>
    <x v="1"/>
    <x v="1"/>
    <x v="3"/>
  </r>
  <r>
    <x v="21"/>
    <x v="1"/>
    <x v="2"/>
    <x v="3"/>
  </r>
  <r>
    <x v="21"/>
    <x v="1"/>
    <x v="3"/>
    <x v="3"/>
  </r>
  <r>
    <x v="21"/>
    <x v="1"/>
    <x v="4"/>
    <x v="3"/>
  </r>
  <r>
    <x v="21"/>
    <x v="1"/>
    <x v="5"/>
    <x v="3"/>
  </r>
  <r>
    <x v="21"/>
    <x v="0"/>
    <x v="6"/>
    <x v="3"/>
  </r>
  <r>
    <x v="21"/>
    <x v="1"/>
    <x v="7"/>
    <x v="3"/>
  </r>
  <r>
    <x v="21"/>
    <x v="1"/>
    <x v="8"/>
    <x v="3"/>
  </r>
  <r>
    <x v="21"/>
    <x v="1"/>
    <x v="9"/>
    <x v="3"/>
  </r>
  <r>
    <x v="22"/>
    <x v="1"/>
    <x v="0"/>
    <x v="0"/>
  </r>
  <r>
    <x v="22"/>
    <x v="1"/>
    <x v="1"/>
    <x v="0"/>
  </r>
  <r>
    <x v="22"/>
    <x v="0"/>
    <x v="2"/>
    <x v="0"/>
  </r>
  <r>
    <x v="22"/>
    <x v="1"/>
    <x v="3"/>
    <x v="0"/>
  </r>
  <r>
    <x v="22"/>
    <x v="0"/>
    <x v="4"/>
    <x v="0"/>
  </r>
  <r>
    <x v="22"/>
    <x v="1"/>
    <x v="5"/>
    <x v="0"/>
  </r>
  <r>
    <x v="22"/>
    <x v="1"/>
    <x v="6"/>
    <x v="0"/>
  </r>
  <r>
    <x v="22"/>
    <x v="1"/>
    <x v="7"/>
    <x v="0"/>
  </r>
  <r>
    <x v="22"/>
    <x v="1"/>
    <x v="8"/>
    <x v="0"/>
  </r>
  <r>
    <x v="22"/>
    <x v="1"/>
    <x v="9"/>
    <x v="0"/>
  </r>
  <r>
    <x v="22"/>
    <x v="0"/>
    <x v="0"/>
    <x v="1"/>
  </r>
  <r>
    <x v="22"/>
    <x v="1"/>
    <x v="1"/>
    <x v="1"/>
  </r>
  <r>
    <x v="22"/>
    <x v="1"/>
    <x v="2"/>
    <x v="1"/>
  </r>
  <r>
    <x v="22"/>
    <x v="1"/>
    <x v="3"/>
    <x v="1"/>
  </r>
  <r>
    <x v="22"/>
    <x v="1"/>
    <x v="4"/>
    <x v="1"/>
  </r>
  <r>
    <x v="22"/>
    <x v="0"/>
    <x v="5"/>
    <x v="1"/>
  </r>
  <r>
    <x v="22"/>
    <x v="1"/>
    <x v="6"/>
    <x v="1"/>
  </r>
  <r>
    <x v="22"/>
    <x v="0"/>
    <x v="7"/>
    <x v="1"/>
  </r>
  <r>
    <x v="22"/>
    <x v="1"/>
    <x v="8"/>
    <x v="1"/>
  </r>
  <r>
    <x v="22"/>
    <x v="0"/>
    <x v="9"/>
    <x v="1"/>
  </r>
  <r>
    <x v="22"/>
    <x v="1"/>
    <x v="0"/>
    <x v="2"/>
  </r>
  <r>
    <x v="22"/>
    <x v="0"/>
    <x v="1"/>
    <x v="2"/>
  </r>
  <r>
    <x v="22"/>
    <x v="1"/>
    <x v="2"/>
    <x v="2"/>
  </r>
  <r>
    <x v="22"/>
    <x v="0"/>
    <x v="3"/>
    <x v="2"/>
  </r>
  <r>
    <x v="22"/>
    <x v="1"/>
    <x v="4"/>
    <x v="2"/>
  </r>
  <r>
    <x v="22"/>
    <x v="1"/>
    <x v="5"/>
    <x v="2"/>
  </r>
  <r>
    <x v="22"/>
    <x v="1"/>
    <x v="6"/>
    <x v="2"/>
  </r>
  <r>
    <x v="22"/>
    <x v="1"/>
    <x v="7"/>
    <x v="2"/>
  </r>
  <r>
    <x v="22"/>
    <x v="0"/>
    <x v="8"/>
    <x v="2"/>
  </r>
  <r>
    <x v="22"/>
    <x v="1"/>
    <x v="9"/>
    <x v="2"/>
  </r>
  <r>
    <x v="22"/>
    <x v="1"/>
    <x v="0"/>
    <x v="3"/>
  </r>
  <r>
    <x v="22"/>
    <x v="1"/>
    <x v="1"/>
    <x v="3"/>
  </r>
  <r>
    <x v="22"/>
    <x v="1"/>
    <x v="2"/>
    <x v="3"/>
  </r>
  <r>
    <x v="22"/>
    <x v="1"/>
    <x v="3"/>
    <x v="3"/>
  </r>
  <r>
    <x v="22"/>
    <x v="1"/>
    <x v="4"/>
    <x v="3"/>
  </r>
  <r>
    <x v="22"/>
    <x v="1"/>
    <x v="5"/>
    <x v="3"/>
  </r>
  <r>
    <x v="22"/>
    <x v="0"/>
    <x v="6"/>
    <x v="3"/>
  </r>
  <r>
    <x v="22"/>
    <x v="1"/>
    <x v="7"/>
    <x v="3"/>
  </r>
  <r>
    <x v="22"/>
    <x v="1"/>
    <x v="8"/>
    <x v="3"/>
  </r>
  <r>
    <x v="22"/>
    <x v="1"/>
    <x v="9"/>
    <x v="3"/>
  </r>
  <r>
    <x v="23"/>
    <x v="1"/>
    <x v="0"/>
    <x v="0"/>
  </r>
  <r>
    <x v="23"/>
    <x v="1"/>
    <x v="1"/>
    <x v="0"/>
  </r>
  <r>
    <x v="23"/>
    <x v="1"/>
    <x v="2"/>
    <x v="0"/>
  </r>
  <r>
    <x v="23"/>
    <x v="1"/>
    <x v="3"/>
    <x v="0"/>
  </r>
  <r>
    <x v="23"/>
    <x v="1"/>
    <x v="4"/>
    <x v="0"/>
  </r>
  <r>
    <x v="23"/>
    <x v="0"/>
    <x v="5"/>
    <x v="0"/>
  </r>
  <r>
    <x v="23"/>
    <x v="1"/>
    <x v="6"/>
    <x v="0"/>
  </r>
  <r>
    <x v="23"/>
    <x v="1"/>
    <x v="7"/>
    <x v="0"/>
  </r>
  <r>
    <x v="23"/>
    <x v="1"/>
    <x v="8"/>
    <x v="0"/>
  </r>
  <r>
    <x v="23"/>
    <x v="0"/>
    <x v="9"/>
    <x v="0"/>
  </r>
  <r>
    <x v="23"/>
    <x v="1"/>
    <x v="0"/>
    <x v="1"/>
  </r>
  <r>
    <x v="23"/>
    <x v="1"/>
    <x v="1"/>
    <x v="1"/>
  </r>
  <r>
    <x v="23"/>
    <x v="0"/>
    <x v="2"/>
    <x v="1"/>
  </r>
  <r>
    <x v="23"/>
    <x v="0"/>
    <x v="3"/>
    <x v="1"/>
  </r>
  <r>
    <x v="23"/>
    <x v="0"/>
    <x v="4"/>
    <x v="1"/>
  </r>
  <r>
    <x v="23"/>
    <x v="1"/>
    <x v="5"/>
    <x v="1"/>
  </r>
  <r>
    <x v="23"/>
    <x v="1"/>
    <x v="6"/>
    <x v="1"/>
  </r>
  <r>
    <x v="23"/>
    <x v="1"/>
    <x v="7"/>
    <x v="1"/>
  </r>
  <r>
    <x v="23"/>
    <x v="0"/>
    <x v="8"/>
    <x v="1"/>
  </r>
  <r>
    <x v="23"/>
    <x v="1"/>
    <x v="9"/>
    <x v="1"/>
  </r>
  <r>
    <x v="23"/>
    <x v="0"/>
    <x v="0"/>
    <x v="2"/>
  </r>
  <r>
    <x v="23"/>
    <x v="0"/>
    <x v="1"/>
    <x v="2"/>
  </r>
  <r>
    <x v="23"/>
    <x v="1"/>
    <x v="2"/>
    <x v="2"/>
  </r>
  <r>
    <x v="23"/>
    <x v="1"/>
    <x v="3"/>
    <x v="2"/>
  </r>
  <r>
    <x v="23"/>
    <x v="1"/>
    <x v="4"/>
    <x v="2"/>
  </r>
  <r>
    <x v="23"/>
    <x v="1"/>
    <x v="5"/>
    <x v="2"/>
  </r>
  <r>
    <x v="23"/>
    <x v="1"/>
    <x v="6"/>
    <x v="2"/>
  </r>
  <r>
    <x v="23"/>
    <x v="0"/>
    <x v="7"/>
    <x v="2"/>
  </r>
  <r>
    <x v="23"/>
    <x v="1"/>
    <x v="8"/>
    <x v="2"/>
  </r>
  <r>
    <x v="23"/>
    <x v="1"/>
    <x v="9"/>
    <x v="2"/>
  </r>
  <r>
    <x v="23"/>
    <x v="1"/>
    <x v="0"/>
    <x v="3"/>
  </r>
  <r>
    <x v="23"/>
    <x v="1"/>
    <x v="1"/>
    <x v="3"/>
  </r>
  <r>
    <x v="23"/>
    <x v="1"/>
    <x v="2"/>
    <x v="3"/>
  </r>
  <r>
    <x v="23"/>
    <x v="1"/>
    <x v="3"/>
    <x v="3"/>
  </r>
  <r>
    <x v="23"/>
    <x v="1"/>
    <x v="4"/>
    <x v="3"/>
  </r>
  <r>
    <x v="23"/>
    <x v="1"/>
    <x v="5"/>
    <x v="3"/>
  </r>
  <r>
    <x v="23"/>
    <x v="0"/>
    <x v="6"/>
    <x v="3"/>
  </r>
  <r>
    <x v="23"/>
    <x v="1"/>
    <x v="7"/>
    <x v="3"/>
  </r>
  <r>
    <x v="23"/>
    <x v="1"/>
    <x v="8"/>
    <x v="3"/>
  </r>
  <r>
    <x v="23"/>
    <x v="1"/>
    <x v="9"/>
    <x v="3"/>
  </r>
  <r>
    <x v="24"/>
    <x v="1"/>
    <x v="0"/>
    <x v="0"/>
  </r>
  <r>
    <x v="24"/>
    <x v="1"/>
    <x v="1"/>
    <x v="0"/>
  </r>
  <r>
    <x v="24"/>
    <x v="1"/>
    <x v="2"/>
    <x v="0"/>
  </r>
  <r>
    <x v="24"/>
    <x v="1"/>
    <x v="3"/>
    <x v="0"/>
  </r>
  <r>
    <x v="24"/>
    <x v="1"/>
    <x v="4"/>
    <x v="0"/>
  </r>
  <r>
    <x v="24"/>
    <x v="0"/>
    <x v="5"/>
    <x v="0"/>
  </r>
  <r>
    <x v="24"/>
    <x v="1"/>
    <x v="6"/>
    <x v="0"/>
  </r>
  <r>
    <x v="24"/>
    <x v="1"/>
    <x v="7"/>
    <x v="0"/>
  </r>
  <r>
    <x v="24"/>
    <x v="0"/>
    <x v="8"/>
    <x v="0"/>
  </r>
  <r>
    <x v="24"/>
    <x v="1"/>
    <x v="9"/>
    <x v="0"/>
  </r>
  <r>
    <x v="24"/>
    <x v="1"/>
    <x v="0"/>
    <x v="1"/>
  </r>
  <r>
    <x v="24"/>
    <x v="1"/>
    <x v="1"/>
    <x v="1"/>
  </r>
  <r>
    <x v="24"/>
    <x v="0"/>
    <x v="2"/>
    <x v="1"/>
  </r>
  <r>
    <x v="24"/>
    <x v="0"/>
    <x v="3"/>
    <x v="1"/>
  </r>
  <r>
    <x v="24"/>
    <x v="0"/>
    <x v="4"/>
    <x v="1"/>
  </r>
  <r>
    <x v="24"/>
    <x v="1"/>
    <x v="5"/>
    <x v="1"/>
  </r>
  <r>
    <x v="24"/>
    <x v="1"/>
    <x v="6"/>
    <x v="1"/>
  </r>
  <r>
    <x v="24"/>
    <x v="0"/>
    <x v="7"/>
    <x v="1"/>
  </r>
  <r>
    <x v="24"/>
    <x v="1"/>
    <x v="8"/>
    <x v="1"/>
  </r>
  <r>
    <x v="24"/>
    <x v="1"/>
    <x v="9"/>
    <x v="1"/>
  </r>
  <r>
    <x v="24"/>
    <x v="0"/>
    <x v="0"/>
    <x v="2"/>
  </r>
  <r>
    <x v="24"/>
    <x v="1"/>
    <x v="1"/>
    <x v="2"/>
  </r>
  <r>
    <x v="24"/>
    <x v="1"/>
    <x v="2"/>
    <x v="2"/>
  </r>
  <r>
    <x v="24"/>
    <x v="1"/>
    <x v="3"/>
    <x v="2"/>
  </r>
  <r>
    <x v="24"/>
    <x v="1"/>
    <x v="4"/>
    <x v="2"/>
  </r>
  <r>
    <x v="24"/>
    <x v="1"/>
    <x v="5"/>
    <x v="2"/>
  </r>
  <r>
    <x v="24"/>
    <x v="0"/>
    <x v="6"/>
    <x v="2"/>
  </r>
  <r>
    <x v="24"/>
    <x v="1"/>
    <x v="7"/>
    <x v="2"/>
  </r>
  <r>
    <x v="24"/>
    <x v="1"/>
    <x v="8"/>
    <x v="2"/>
  </r>
  <r>
    <x v="24"/>
    <x v="0"/>
    <x v="9"/>
    <x v="2"/>
  </r>
  <r>
    <x v="24"/>
    <x v="1"/>
    <x v="0"/>
    <x v="3"/>
  </r>
  <r>
    <x v="24"/>
    <x v="0"/>
    <x v="1"/>
    <x v="3"/>
  </r>
  <r>
    <x v="24"/>
    <x v="1"/>
    <x v="2"/>
    <x v="3"/>
  </r>
  <r>
    <x v="24"/>
    <x v="1"/>
    <x v="3"/>
    <x v="3"/>
  </r>
  <r>
    <x v="24"/>
    <x v="1"/>
    <x v="4"/>
    <x v="3"/>
  </r>
  <r>
    <x v="24"/>
    <x v="1"/>
    <x v="5"/>
    <x v="3"/>
  </r>
  <r>
    <x v="24"/>
    <x v="1"/>
    <x v="6"/>
    <x v="3"/>
  </r>
  <r>
    <x v="24"/>
    <x v="1"/>
    <x v="7"/>
    <x v="3"/>
  </r>
  <r>
    <x v="24"/>
    <x v="1"/>
    <x v="8"/>
    <x v="3"/>
  </r>
  <r>
    <x v="24"/>
    <x v="1"/>
    <x v="9"/>
    <x v="3"/>
  </r>
  <r>
    <x v="25"/>
    <x v="0"/>
    <x v="0"/>
    <x v="0"/>
  </r>
  <r>
    <x v="25"/>
    <x v="1"/>
    <x v="1"/>
    <x v="0"/>
  </r>
  <r>
    <x v="25"/>
    <x v="0"/>
    <x v="2"/>
    <x v="0"/>
  </r>
  <r>
    <x v="25"/>
    <x v="1"/>
    <x v="3"/>
    <x v="0"/>
  </r>
  <r>
    <x v="25"/>
    <x v="1"/>
    <x v="4"/>
    <x v="0"/>
  </r>
  <r>
    <x v="25"/>
    <x v="1"/>
    <x v="5"/>
    <x v="0"/>
  </r>
  <r>
    <x v="25"/>
    <x v="1"/>
    <x v="6"/>
    <x v="0"/>
  </r>
  <r>
    <x v="25"/>
    <x v="0"/>
    <x v="7"/>
    <x v="0"/>
  </r>
  <r>
    <x v="25"/>
    <x v="0"/>
    <x v="8"/>
    <x v="0"/>
  </r>
  <r>
    <x v="25"/>
    <x v="1"/>
    <x v="9"/>
    <x v="0"/>
  </r>
  <r>
    <x v="25"/>
    <x v="1"/>
    <x v="0"/>
    <x v="1"/>
  </r>
  <r>
    <x v="25"/>
    <x v="1"/>
    <x v="1"/>
    <x v="1"/>
  </r>
  <r>
    <x v="25"/>
    <x v="1"/>
    <x v="2"/>
    <x v="1"/>
  </r>
  <r>
    <x v="25"/>
    <x v="1"/>
    <x v="3"/>
    <x v="1"/>
  </r>
  <r>
    <x v="25"/>
    <x v="0"/>
    <x v="4"/>
    <x v="1"/>
  </r>
  <r>
    <x v="25"/>
    <x v="0"/>
    <x v="5"/>
    <x v="1"/>
  </r>
  <r>
    <x v="25"/>
    <x v="1"/>
    <x v="6"/>
    <x v="1"/>
  </r>
  <r>
    <x v="25"/>
    <x v="1"/>
    <x v="7"/>
    <x v="1"/>
  </r>
  <r>
    <x v="25"/>
    <x v="1"/>
    <x v="8"/>
    <x v="1"/>
  </r>
  <r>
    <x v="25"/>
    <x v="1"/>
    <x v="9"/>
    <x v="1"/>
  </r>
  <r>
    <x v="25"/>
    <x v="1"/>
    <x v="0"/>
    <x v="2"/>
  </r>
  <r>
    <x v="25"/>
    <x v="1"/>
    <x v="1"/>
    <x v="2"/>
  </r>
  <r>
    <x v="25"/>
    <x v="1"/>
    <x v="2"/>
    <x v="2"/>
  </r>
  <r>
    <x v="25"/>
    <x v="0"/>
    <x v="3"/>
    <x v="2"/>
  </r>
  <r>
    <x v="25"/>
    <x v="1"/>
    <x v="4"/>
    <x v="2"/>
  </r>
  <r>
    <x v="25"/>
    <x v="1"/>
    <x v="5"/>
    <x v="2"/>
  </r>
  <r>
    <x v="25"/>
    <x v="0"/>
    <x v="6"/>
    <x v="2"/>
  </r>
  <r>
    <x v="25"/>
    <x v="1"/>
    <x v="7"/>
    <x v="2"/>
  </r>
  <r>
    <x v="25"/>
    <x v="1"/>
    <x v="8"/>
    <x v="2"/>
  </r>
  <r>
    <x v="25"/>
    <x v="0"/>
    <x v="9"/>
    <x v="2"/>
  </r>
  <r>
    <x v="25"/>
    <x v="1"/>
    <x v="0"/>
    <x v="3"/>
  </r>
  <r>
    <x v="25"/>
    <x v="0"/>
    <x v="1"/>
    <x v="3"/>
  </r>
  <r>
    <x v="25"/>
    <x v="1"/>
    <x v="2"/>
    <x v="3"/>
  </r>
  <r>
    <x v="25"/>
    <x v="1"/>
    <x v="3"/>
    <x v="3"/>
  </r>
  <r>
    <x v="25"/>
    <x v="1"/>
    <x v="4"/>
    <x v="3"/>
  </r>
  <r>
    <x v="25"/>
    <x v="1"/>
    <x v="5"/>
    <x v="3"/>
  </r>
  <r>
    <x v="25"/>
    <x v="1"/>
    <x v="6"/>
    <x v="3"/>
  </r>
  <r>
    <x v="25"/>
    <x v="1"/>
    <x v="7"/>
    <x v="3"/>
  </r>
  <r>
    <x v="25"/>
    <x v="1"/>
    <x v="8"/>
    <x v="3"/>
  </r>
  <r>
    <x v="25"/>
    <x v="1"/>
    <x v="9"/>
    <x v="3"/>
  </r>
  <r>
    <x v="26"/>
    <x v="1"/>
    <x v="0"/>
    <x v="0"/>
  </r>
  <r>
    <x v="26"/>
    <x v="1"/>
    <x v="1"/>
    <x v="0"/>
  </r>
  <r>
    <x v="26"/>
    <x v="1"/>
    <x v="2"/>
    <x v="0"/>
  </r>
  <r>
    <x v="26"/>
    <x v="1"/>
    <x v="3"/>
    <x v="0"/>
  </r>
  <r>
    <x v="26"/>
    <x v="1"/>
    <x v="4"/>
    <x v="0"/>
  </r>
  <r>
    <x v="26"/>
    <x v="0"/>
    <x v="5"/>
    <x v="0"/>
  </r>
  <r>
    <x v="26"/>
    <x v="1"/>
    <x v="6"/>
    <x v="0"/>
  </r>
  <r>
    <x v="26"/>
    <x v="0"/>
    <x v="7"/>
    <x v="0"/>
  </r>
  <r>
    <x v="26"/>
    <x v="1"/>
    <x v="8"/>
    <x v="0"/>
  </r>
  <r>
    <x v="26"/>
    <x v="1"/>
    <x v="9"/>
    <x v="0"/>
  </r>
  <r>
    <x v="26"/>
    <x v="0"/>
    <x v="0"/>
    <x v="1"/>
  </r>
  <r>
    <x v="26"/>
    <x v="1"/>
    <x v="1"/>
    <x v="1"/>
  </r>
  <r>
    <x v="26"/>
    <x v="0"/>
    <x v="2"/>
    <x v="1"/>
  </r>
  <r>
    <x v="26"/>
    <x v="0"/>
    <x v="3"/>
    <x v="1"/>
  </r>
  <r>
    <x v="26"/>
    <x v="0"/>
    <x v="4"/>
    <x v="1"/>
  </r>
  <r>
    <x v="26"/>
    <x v="1"/>
    <x v="5"/>
    <x v="1"/>
  </r>
  <r>
    <x v="26"/>
    <x v="1"/>
    <x v="6"/>
    <x v="1"/>
  </r>
  <r>
    <x v="26"/>
    <x v="1"/>
    <x v="7"/>
    <x v="1"/>
  </r>
  <r>
    <x v="26"/>
    <x v="1"/>
    <x v="8"/>
    <x v="1"/>
  </r>
  <r>
    <x v="26"/>
    <x v="1"/>
    <x v="9"/>
    <x v="1"/>
  </r>
  <r>
    <x v="26"/>
    <x v="1"/>
    <x v="0"/>
    <x v="2"/>
  </r>
  <r>
    <x v="26"/>
    <x v="0"/>
    <x v="1"/>
    <x v="2"/>
  </r>
  <r>
    <x v="26"/>
    <x v="1"/>
    <x v="2"/>
    <x v="2"/>
  </r>
  <r>
    <x v="26"/>
    <x v="1"/>
    <x v="3"/>
    <x v="2"/>
  </r>
  <r>
    <x v="26"/>
    <x v="1"/>
    <x v="4"/>
    <x v="2"/>
  </r>
  <r>
    <x v="26"/>
    <x v="1"/>
    <x v="5"/>
    <x v="2"/>
  </r>
  <r>
    <x v="26"/>
    <x v="1"/>
    <x v="6"/>
    <x v="2"/>
  </r>
  <r>
    <x v="26"/>
    <x v="1"/>
    <x v="7"/>
    <x v="2"/>
  </r>
  <r>
    <x v="26"/>
    <x v="0"/>
    <x v="8"/>
    <x v="2"/>
  </r>
  <r>
    <x v="26"/>
    <x v="0"/>
    <x v="9"/>
    <x v="2"/>
  </r>
  <r>
    <x v="26"/>
    <x v="1"/>
    <x v="0"/>
    <x v="3"/>
  </r>
  <r>
    <x v="26"/>
    <x v="1"/>
    <x v="1"/>
    <x v="3"/>
  </r>
  <r>
    <x v="26"/>
    <x v="1"/>
    <x v="2"/>
    <x v="3"/>
  </r>
  <r>
    <x v="26"/>
    <x v="1"/>
    <x v="3"/>
    <x v="3"/>
  </r>
  <r>
    <x v="26"/>
    <x v="1"/>
    <x v="4"/>
    <x v="3"/>
  </r>
  <r>
    <x v="26"/>
    <x v="1"/>
    <x v="5"/>
    <x v="3"/>
  </r>
  <r>
    <x v="26"/>
    <x v="0"/>
    <x v="6"/>
    <x v="3"/>
  </r>
  <r>
    <x v="26"/>
    <x v="1"/>
    <x v="7"/>
    <x v="3"/>
  </r>
  <r>
    <x v="26"/>
    <x v="1"/>
    <x v="8"/>
    <x v="3"/>
  </r>
  <r>
    <x v="26"/>
    <x v="1"/>
    <x v="9"/>
    <x v="3"/>
  </r>
  <r>
    <x v="27"/>
    <x v="1"/>
    <x v="0"/>
    <x v="0"/>
  </r>
  <r>
    <x v="27"/>
    <x v="1"/>
    <x v="1"/>
    <x v="0"/>
  </r>
  <r>
    <x v="27"/>
    <x v="1"/>
    <x v="2"/>
    <x v="0"/>
  </r>
  <r>
    <x v="27"/>
    <x v="0"/>
    <x v="3"/>
    <x v="0"/>
  </r>
  <r>
    <x v="27"/>
    <x v="1"/>
    <x v="4"/>
    <x v="0"/>
  </r>
  <r>
    <x v="27"/>
    <x v="0"/>
    <x v="5"/>
    <x v="0"/>
  </r>
  <r>
    <x v="27"/>
    <x v="1"/>
    <x v="6"/>
    <x v="0"/>
  </r>
  <r>
    <x v="27"/>
    <x v="1"/>
    <x v="7"/>
    <x v="0"/>
  </r>
  <r>
    <x v="27"/>
    <x v="1"/>
    <x v="8"/>
    <x v="0"/>
  </r>
  <r>
    <x v="27"/>
    <x v="1"/>
    <x v="9"/>
    <x v="0"/>
  </r>
  <r>
    <x v="27"/>
    <x v="1"/>
    <x v="0"/>
    <x v="1"/>
  </r>
  <r>
    <x v="27"/>
    <x v="1"/>
    <x v="1"/>
    <x v="1"/>
  </r>
  <r>
    <x v="27"/>
    <x v="0"/>
    <x v="2"/>
    <x v="1"/>
  </r>
  <r>
    <x v="27"/>
    <x v="1"/>
    <x v="3"/>
    <x v="1"/>
  </r>
  <r>
    <x v="27"/>
    <x v="0"/>
    <x v="4"/>
    <x v="1"/>
  </r>
  <r>
    <x v="27"/>
    <x v="1"/>
    <x v="5"/>
    <x v="1"/>
  </r>
  <r>
    <x v="27"/>
    <x v="1"/>
    <x v="6"/>
    <x v="1"/>
  </r>
  <r>
    <x v="27"/>
    <x v="0"/>
    <x v="7"/>
    <x v="1"/>
  </r>
  <r>
    <x v="27"/>
    <x v="1"/>
    <x v="8"/>
    <x v="1"/>
  </r>
  <r>
    <x v="27"/>
    <x v="0"/>
    <x v="9"/>
    <x v="1"/>
  </r>
  <r>
    <x v="27"/>
    <x v="0"/>
    <x v="0"/>
    <x v="2"/>
  </r>
  <r>
    <x v="27"/>
    <x v="0"/>
    <x v="1"/>
    <x v="2"/>
  </r>
  <r>
    <x v="27"/>
    <x v="1"/>
    <x v="2"/>
    <x v="2"/>
  </r>
  <r>
    <x v="27"/>
    <x v="1"/>
    <x v="3"/>
    <x v="2"/>
  </r>
  <r>
    <x v="27"/>
    <x v="1"/>
    <x v="4"/>
    <x v="2"/>
  </r>
  <r>
    <x v="27"/>
    <x v="1"/>
    <x v="5"/>
    <x v="2"/>
  </r>
  <r>
    <x v="27"/>
    <x v="1"/>
    <x v="6"/>
    <x v="2"/>
  </r>
  <r>
    <x v="27"/>
    <x v="1"/>
    <x v="7"/>
    <x v="2"/>
  </r>
  <r>
    <x v="27"/>
    <x v="0"/>
    <x v="8"/>
    <x v="2"/>
  </r>
  <r>
    <x v="27"/>
    <x v="1"/>
    <x v="9"/>
    <x v="2"/>
  </r>
  <r>
    <x v="27"/>
    <x v="1"/>
    <x v="0"/>
    <x v="3"/>
  </r>
  <r>
    <x v="27"/>
    <x v="1"/>
    <x v="1"/>
    <x v="3"/>
  </r>
  <r>
    <x v="27"/>
    <x v="1"/>
    <x v="2"/>
    <x v="3"/>
  </r>
  <r>
    <x v="27"/>
    <x v="1"/>
    <x v="3"/>
    <x v="3"/>
  </r>
  <r>
    <x v="27"/>
    <x v="1"/>
    <x v="4"/>
    <x v="3"/>
  </r>
  <r>
    <x v="27"/>
    <x v="1"/>
    <x v="5"/>
    <x v="3"/>
  </r>
  <r>
    <x v="27"/>
    <x v="0"/>
    <x v="6"/>
    <x v="3"/>
  </r>
  <r>
    <x v="27"/>
    <x v="1"/>
    <x v="7"/>
    <x v="3"/>
  </r>
  <r>
    <x v="27"/>
    <x v="1"/>
    <x v="8"/>
    <x v="3"/>
  </r>
  <r>
    <x v="27"/>
    <x v="1"/>
    <x v="9"/>
    <x v="3"/>
  </r>
  <r>
    <x v="28"/>
    <x v="0"/>
    <x v="0"/>
    <x v="0"/>
  </r>
  <r>
    <x v="28"/>
    <x v="1"/>
    <x v="1"/>
    <x v="0"/>
  </r>
  <r>
    <x v="28"/>
    <x v="0"/>
    <x v="2"/>
    <x v="0"/>
  </r>
  <r>
    <x v="28"/>
    <x v="0"/>
    <x v="3"/>
    <x v="0"/>
  </r>
  <r>
    <x v="28"/>
    <x v="1"/>
    <x v="4"/>
    <x v="0"/>
  </r>
  <r>
    <x v="28"/>
    <x v="1"/>
    <x v="5"/>
    <x v="0"/>
  </r>
  <r>
    <x v="28"/>
    <x v="1"/>
    <x v="6"/>
    <x v="0"/>
  </r>
  <r>
    <x v="28"/>
    <x v="1"/>
    <x v="7"/>
    <x v="0"/>
  </r>
  <r>
    <x v="28"/>
    <x v="1"/>
    <x v="8"/>
    <x v="0"/>
  </r>
  <r>
    <x v="28"/>
    <x v="1"/>
    <x v="9"/>
    <x v="0"/>
  </r>
  <r>
    <x v="28"/>
    <x v="1"/>
    <x v="0"/>
    <x v="1"/>
  </r>
  <r>
    <x v="28"/>
    <x v="1"/>
    <x v="1"/>
    <x v="1"/>
  </r>
  <r>
    <x v="28"/>
    <x v="1"/>
    <x v="2"/>
    <x v="1"/>
  </r>
  <r>
    <x v="28"/>
    <x v="1"/>
    <x v="3"/>
    <x v="1"/>
  </r>
  <r>
    <x v="28"/>
    <x v="0"/>
    <x v="4"/>
    <x v="1"/>
  </r>
  <r>
    <x v="28"/>
    <x v="0"/>
    <x v="5"/>
    <x v="1"/>
  </r>
  <r>
    <x v="28"/>
    <x v="1"/>
    <x v="6"/>
    <x v="1"/>
  </r>
  <r>
    <x v="28"/>
    <x v="0"/>
    <x v="7"/>
    <x v="1"/>
  </r>
  <r>
    <x v="28"/>
    <x v="1"/>
    <x v="8"/>
    <x v="1"/>
  </r>
  <r>
    <x v="28"/>
    <x v="1"/>
    <x v="9"/>
    <x v="1"/>
  </r>
  <r>
    <x v="28"/>
    <x v="1"/>
    <x v="0"/>
    <x v="2"/>
  </r>
  <r>
    <x v="28"/>
    <x v="0"/>
    <x v="1"/>
    <x v="2"/>
  </r>
  <r>
    <x v="28"/>
    <x v="1"/>
    <x v="2"/>
    <x v="2"/>
  </r>
  <r>
    <x v="28"/>
    <x v="1"/>
    <x v="3"/>
    <x v="2"/>
  </r>
  <r>
    <x v="28"/>
    <x v="1"/>
    <x v="4"/>
    <x v="2"/>
  </r>
  <r>
    <x v="28"/>
    <x v="1"/>
    <x v="5"/>
    <x v="2"/>
  </r>
  <r>
    <x v="28"/>
    <x v="1"/>
    <x v="6"/>
    <x v="2"/>
  </r>
  <r>
    <x v="28"/>
    <x v="1"/>
    <x v="7"/>
    <x v="2"/>
  </r>
  <r>
    <x v="28"/>
    <x v="0"/>
    <x v="8"/>
    <x v="2"/>
  </r>
  <r>
    <x v="28"/>
    <x v="0"/>
    <x v="9"/>
    <x v="2"/>
  </r>
  <r>
    <x v="28"/>
    <x v="1"/>
    <x v="0"/>
    <x v="3"/>
  </r>
  <r>
    <x v="28"/>
    <x v="1"/>
    <x v="1"/>
    <x v="3"/>
  </r>
  <r>
    <x v="28"/>
    <x v="1"/>
    <x v="2"/>
    <x v="3"/>
  </r>
  <r>
    <x v="28"/>
    <x v="1"/>
    <x v="3"/>
    <x v="3"/>
  </r>
  <r>
    <x v="28"/>
    <x v="1"/>
    <x v="4"/>
    <x v="3"/>
  </r>
  <r>
    <x v="28"/>
    <x v="1"/>
    <x v="5"/>
    <x v="3"/>
  </r>
  <r>
    <x v="28"/>
    <x v="0"/>
    <x v="6"/>
    <x v="3"/>
  </r>
  <r>
    <x v="28"/>
    <x v="1"/>
    <x v="7"/>
    <x v="3"/>
  </r>
  <r>
    <x v="28"/>
    <x v="1"/>
    <x v="8"/>
    <x v="3"/>
  </r>
  <r>
    <x v="28"/>
    <x v="1"/>
    <x v="9"/>
    <x v="3"/>
  </r>
  <r>
    <x v="29"/>
    <x v="1"/>
    <x v="0"/>
    <x v="0"/>
  </r>
  <r>
    <x v="29"/>
    <x v="1"/>
    <x v="1"/>
    <x v="0"/>
  </r>
  <r>
    <x v="29"/>
    <x v="1"/>
    <x v="2"/>
    <x v="0"/>
  </r>
  <r>
    <x v="29"/>
    <x v="1"/>
    <x v="3"/>
    <x v="0"/>
  </r>
  <r>
    <x v="29"/>
    <x v="1"/>
    <x v="4"/>
    <x v="0"/>
  </r>
  <r>
    <x v="29"/>
    <x v="0"/>
    <x v="5"/>
    <x v="0"/>
  </r>
  <r>
    <x v="29"/>
    <x v="1"/>
    <x v="6"/>
    <x v="0"/>
  </r>
  <r>
    <x v="29"/>
    <x v="1"/>
    <x v="7"/>
    <x v="0"/>
  </r>
  <r>
    <x v="29"/>
    <x v="1"/>
    <x v="8"/>
    <x v="0"/>
  </r>
  <r>
    <x v="29"/>
    <x v="1"/>
    <x v="9"/>
    <x v="0"/>
  </r>
  <r>
    <x v="29"/>
    <x v="1"/>
    <x v="0"/>
    <x v="1"/>
  </r>
  <r>
    <x v="29"/>
    <x v="1"/>
    <x v="1"/>
    <x v="1"/>
  </r>
  <r>
    <x v="29"/>
    <x v="0"/>
    <x v="2"/>
    <x v="1"/>
  </r>
  <r>
    <x v="29"/>
    <x v="1"/>
    <x v="3"/>
    <x v="1"/>
  </r>
  <r>
    <x v="29"/>
    <x v="0"/>
    <x v="4"/>
    <x v="1"/>
  </r>
  <r>
    <x v="29"/>
    <x v="1"/>
    <x v="5"/>
    <x v="1"/>
  </r>
  <r>
    <x v="29"/>
    <x v="1"/>
    <x v="6"/>
    <x v="1"/>
  </r>
  <r>
    <x v="29"/>
    <x v="0"/>
    <x v="7"/>
    <x v="1"/>
  </r>
  <r>
    <x v="29"/>
    <x v="1"/>
    <x v="8"/>
    <x v="1"/>
  </r>
  <r>
    <x v="29"/>
    <x v="0"/>
    <x v="9"/>
    <x v="1"/>
  </r>
  <r>
    <x v="29"/>
    <x v="0"/>
    <x v="0"/>
    <x v="2"/>
  </r>
  <r>
    <x v="29"/>
    <x v="1"/>
    <x v="1"/>
    <x v="2"/>
  </r>
  <r>
    <x v="29"/>
    <x v="1"/>
    <x v="2"/>
    <x v="2"/>
  </r>
  <r>
    <x v="29"/>
    <x v="0"/>
    <x v="3"/>
    <x v="2"/>
  </r>
  <r>
    <x v="29"/>
    <x v="1"/>
    <x v="4"/>
    <x v="2"/>
  </r>
  <r>
    <x v="29"/>
    <x v="1"/>
    <x v="5"/>
    <x v="2"/>
  </r>
  <r>
    <x v="29"/>
    <x v="0"/>
    <x v="6"/>
    <x v="2"/>
  </r>
  <r>
    <x v="29"/>
    <x v="1"/>
    <x v="7"/>
    <x v="2"/>
  </r>
  <r>
    <x v="29"/>
    <x v="0"/>
    <x v="8"/>
    <x v="2"/>
  </r>
  <r>
    <x v="29"/>
    <x v="1"/>
    <x v="9"/>
    <x v="2"/>
  </r>
  <r>
    <x v="29"/>
    <x v="1"/>
    <x v="0"/>
    <x v="3"/>
  </r>
  <r>
    <x v="29"/>
    <x v="0"/>
    <x v="1"/>
    <x v="3"/>
  </r>
  <r>
    <x v="29"/>
    <x v="1"/>
    <x v="2"/>
    <x v="3"/>
  </r>
  <r>
    <x v="29"/>
    <x v="1"/>
    <x v="3"/>
    <x v="3"/>
  </r>
  <r>
    <x v="29"/>
    <x v="1"/>
    <x v="4"/>
    <x v="3"/>
  </r>
  <r>
    <x v="29"/>
    <x v="1"/>
    <x v="5"/>
    <x v="3"/>
  </r>
  <r>
    <x v="29"/>
    <x v="1"/>
    <x v="6"/>
    <x v="3"/>
  </r>
  <r>
    <x v="29"/>
    <x v="1"/>
    <x v="7"/>
    <x v="3"/>
  </r>
  <r>
    <x v="29"/>
    <x v="1"/>
    <x v="8"/>
    <x v="3"/>
  </r>
  <r>
    <x v="29"/>
    <x v="1"/>
    <x v="9"/>
    <x v="3"/>
  </r>
  <r>
    <x v="0"/>
    <x v="2"/>
    <x v="10"/>
    <x v="4"/>
  </r>
  <r>
    <x v="1"/>
    <x v="3"/>
    <x v="10"/>
    <x v="4"/>
  </r>
  <r>
    <x v="2"/>
    <x v="4"/>
    <x v="10"/>
    <x v="4"/>
  </r>
  <r>
    <x v="3"/>
    <x v="5"/>
    <x v="10"/>
    <x v="4"/>
  </r>
  <r>
    <x v="4"/>
    <x v="6"/>
    <x v="10"/>
    <x v="4"/>
  </r>
  <r>
    <x v="5"/>
    <x v="7"/>
    <x v="10"/>
    <x v="4"/>
  </r>
  <r>
    <x v="6"/>
    <x v="8"/>
    <x v="10"/>
    <x v="4"/>
  </r>
  <r>
    <x v="7"/>
    <x v="9"/>
    <x v="10"/>
    <x v="4"/>
  </r>
  <r>
    <x v="8"/>
    <x v="10"/>
    <x v="10"/>
    <x v="4"/>
  </r>
  <r>
    <x v="9"/>
    <x v="11"/>
    <x v="10"/>
    <x v="4"/>
  </r>
  <r>
    <x v="10"/>
    <x v="12"/>
    <x v="10"/>
    <x v="4"/>
  </r>
  <r>
    <x v="11"/>
    <x v="13"/>
    <x v="10"/>
    <x v="4"/>
  </r>
  <r>
    <x v="12"/>
    <x v="14"/>
    <x v="10"/>
    <x v="4"/>
  </r>
  <r>
    <x v="13"/>
    <x v="15"/>
    <x v="10"/>
    <x v="4"/>
  </r>
  <r>
    <x v="14"/>
    <x v="16"/>
    <x v="10"/>
    <x v="4"/>
  </r>
  <r>
    <x v="15"/>
    <x v="17"/>
    <x v="10"/>
    <x v="4"/>
  </r>
  <r>
    <x v="16"/>
    <x v="18"/>
    <x v="10"/>
    <x v="4"/>
  </r>
  <r>
    <x v="17"/>
    <x v="19"/>
    <x v="10"/>
    <x v="4"/>
  </r>
  <r>
    <x v="18"/>
    <x v="20"/>
    <x v="10"/>
    <x v="4"/>
  </r>
  <r>
    <x v="19"/>
    <x v="21"/>
    <x v="10"/>
    <x v="4"/>
  </r>
  <r>
    <x v="20"/>
    <x v="22"/>
    <x v="10"/>
    <x v="4"/>
  </r>
  <r>
    <x v="21"/>
    <x v="23"/>
    <x v="10"/>
    <x v="4"/>
  </r>
  <r>
    <x v="22"/>
    <x v="24"/>
    <x v="10"/>
    <x v="4"/>
  </r>
  <r>
    <x v="23"/>
    <x v="25"/>
    <x v="10"/>
    <x v="4"/>
  </r>
  <r>
    <x v="24"/>
    <x v="26"/>
    <x v="10"/>
    <x v="4"/>
  </r>
  <r>
    <x v="25"/>
    <x v="27"/>
    <x v="10"/>
    <x v="4"/>
  </r>
  <r>
    <x v="26"/>
    <x v="28"/>
    <x v="10"/>
    <x v="4"/>
  </r>
  <r>
    <x v="27"/>
    <x v="29"/>
    <x v="10"/>
    <x v="4"/>
  </r>
  <r>
    <x v="28"/>
    <x v="30"/>
    <x v="10"/>
    <x v="4"/>
  </r>
  <r>
    <x v="29"/>
    <x v="31"/>
    <x v="10"/>
    <x v="4"/>
  </r>
  <r>
    <x v="0"/>
    <x v="32"/>
    <x v="11"/>
    <x v="5"/>
  </r>
  <r>
    <x v="1"/>
    <x v="33"/>
    <x v="11"/>
    <x v="5"/>
  </r>
  <r>
    <x v="2"/>
    <x v="34"/>
    <x v="11"/>
    <x v="5"/>
  </r>
  <r>
    <x v="3"/>
    <x v="33"/>
    <x v="11"/>
    <x v="5"/>
  </r>
  <r>
    <x v="4"/>
    <x v="35"/>
    <x v="11"/>
    <x v="5"/>
  </r>
  <r>
    <x v="5"/>
    <x v="36"/>
    <x v="11"/>
    <x v="5"/>
  </r>
  <r>
    <x v="6"/>
    <x v="37"/>
    <x v="11"/>
    <x v="5"/>
  </r>
  <r>
    <x v="7"/>
    <x v="38"/>
    <x v="11"/>
    <x v="5"/>
  </r>
  <r>
    <x v="8"/>
    <x v="39"/>
    <x v="11"/>
    <x v="5"/>
  </r>
  <r>
    <x v="9"/>
    <x v="40"/>
    <x v="11"/>
    <x v="5"/>
  </r>
  <r>
    <x v="10"/>
    <x v="39"/>
    <x v="11"/>
    <x v="5"/>
  </r>
  <r>
    <x v="11"/>
    <x v="35"/>
    <x v="11"/>
    <x v="5"/>
  </r>
  <r>
    <x v="12"/>
    <x v="36"/>
    <x v="11"/>
    <x v="5"/>
  </r>
  <r>
    <x v="13"/>
    <x v="41"/>
    <x v="11"/>
    <x v="5"/>
  </r>
  <r>
    <x v="14"/>
    <x v="42"/>
    <x v="11"/>
    <x v="5"/>
  </r>
  <r>
    <x v="15"/>
    <x v="43"/>
    <x v="11"/>
    <x v="5"/>
  </r>
  <r>
    <x v="16"/>
    <x v="44"/>
    <x v="11"/>
    <x v="5"/>
  </r>
  <r>
    <x v="17"/>
    <x v="45"/>
    <x v="11"/>
    <x v="5"/>
  </r>
  <r>
    <x v="18"/>
    <x v="46"/>
    <x v="11"/>
    <x v="5"/>
  </r>
  <r>
    <x v="19"/>
    <x v="47"/>
    <x v="11"/>
    <x v="5"/>
  </r>
  <r>
    <x v="20"/>
    <x v="40"/>
    <x v="11"/>
    <x v="5"/>
  </r>
  <r>
    <x v="21"/>
    <x v="48"/>
    <x v="11"/>
    <x v="5"/>
  </r>
  <r>
    <x v="22"/>
    <x v="49"/>
    <x v="11"/>
    <x v="5"/>
  </r>
  <r>
    <x v="23"/>
    <x v="50"/>
    <x v="11"/>
    <x v="5"/>
  </r>
  <r>
    <x v="24"/>
    <x v="39"/>
    <x v="11"/>
    <x v="5"/>
  </r>
  <r>
    <x v="25"/>
    <x v="51"/>
    <x v="11"/>
    <x v="5"/>
  </r>
  <r>
    <x v="26"/>
    <x v="46"/>
    <x v="11"/>
    <x v="5"/>
  </r>
  <r>
    <x v="27"/>
    <x v="48"/>
    <x v="11"/>
    <x v="5"/>
  </r>
  <r>
    <x v="28"/>
    <x v="52"/>
    <x v="11"/>
    <x v="5"/>
  </r>
  <r>
    <x v="29"/>
    <x v="53"/>
    <x v="11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0932B9-FE07-4C65-9036-8B814A91E187}" name="PivotTable3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22:B45" firstHeaderRow="1" firstDataRow="2" firstDataCol="1"/>
  <pivotFields count="4">
    <pivotField dataField="1" multipleItemSelectionAllowed="1" showAll="0"/>
    <pivotField axis="axisRow" showAll="0" sortType="descending">
      <items count="102">
        <item x="1"/>
        <item x="0"/>
        <item m="1" x="90"/>
        <item m="1" x="64"/>
        <item m="1" x="78"/>
        <item m="1" x="87"/>
        <item m="1" x="57"/>
        <item m="1" x="100"/>
        <item m="1" x="95"/>
        <item m="1" x="89"/>
        <item m="1" x="58"/>
        <item m="1" x="72"/>
        <item m="1" x="62"/>
        <item m="1" x="82"/>
        <item m="1" x="76"/>
        <item m="1" x="69"/>
        <item m="1" x="75"/>
        <item m="1" x="94"/>
        <item m="1" x="77"/>
        <item m="1" x="56"/>
        <item m="1" x="86"/>
        <item m="1" x="61"/>
        <item m="1" x="98"/>
        <item m="1" x="84"/>
        <item m="1" x="70"/>
        <item m="1" x="99"/>
        <item m="1" x="65"/>
        <item m="1" x="66"/>
        <item m="1" x="55"/>
        <item m="1" x="83"/>
        <item m="1" x="81"/>
        <item m="1" x="97"/>
        <item x="37"/>
        <item m="1" x="74"/>
        <item x="42"/>
        <item m="1" x="85"/>
        <item m="1" x="88"/>
        <item x="40"/>
        <item m="1" x="59"/>
        <item m="1" x="73"/>
        <item m="1" x="92"/>
        <item m="1" x="93"/>
        <item m="1" x="63"/>
        <item m="1" x="68"/>
        <item m="1" x="67"/>
        <item x="43"/>
        <item m="1" x="71"/>
        <item m="1" x="79"/>
        <item m="1" x="60"/>
        <item m="1" x="91"/>
        <item m="1" x="80"/>
        <item x="39"/>
        <item m="1" x="54"/>
        <item m="1" x="96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8"/>
        <item x="41"/>
        <item x="44"/>
        <item x="45"/>
        <item x="46"/>
        <item x="47"/>
        <item x="48"/>
        <item x="49"/>
        <item x="50"/>
        <item x="51"/>
        <item x="52"/>
        <item x="53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2" count="1" selected="0">
              <x v="11"/>
            </reference>
          </references>
        </pivotArea>
      </autoSortScope>
    </pivotField>
    <pivotField axis="axisCol" showAll="0">
      <items count="13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x="11"/>
        <item t="default"/>
      </items>
    </pivotField>
    <pivotField showAll="0"/>
  </pivotFields>
  <rowFields count="1">
    <field x="1"/>
  </rowFields>
  <rowItems count="22">
    <i>
      <x v="51"/>
    </i>
    <i>
      <x v="87"/>
    </i>
    <i>
      <x v="37"/>
    </i>
    <i>
      <x v="93"/>
    </i>
    <i>
      <x v="95"/>
    </i>
    <i>
      <x v="85"/>
    </i>
    <i>
      <x v="88"/>
    </i>
    <i>
      <x v="84"/>
    </i>
    <i>
      <x v="97"/>
    </i>
    <i>
      <x v="45"/>
    </i>
    <i>
      <x v="34"/>
    </i>
    <i>
      <x v="86"/>
    </i>
    <i>
      <x v="99"/>
    </i>
    <i>
      <x v="94"/>
    </i>
    <i>
      <x v="100"/>
    </i>
    <i>
      <x v="96"/>
    </i>
    <i>
      <x v="90"/>
    </i>
    <i>
      <x v="98"/>
    </i>
    <i>
      <x v="91"/>
    </i>
    <i>
      <x v="92"/>
    </i>
    <i>
      <x v="32"/>
    </i>
    <i>
      <x v="89"/>
    </i>
  </rowItems>
  <colFields count="1">
    <field x="2"/>
  </colFields>
  <colItems count="1">
    <i>
      <x v="11"/>
    </i>
  </colItems>
  <dataFields count="1">
    <dataField name="Count of Iteration" fld="0" subtotal="count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75C7FD-2190-4A2F-A7EF-BC7346BEBE16}" name="PivotTable2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3:F15" firstHeaderRow="1" firstDataRow="2" firstDataCol="1" rowPageCount="1" colPageCount="1"/>
  <pivotFields count="4">
    <pivotField axis="axisPage" multipleItemSelectionAllowed="1" showAl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dataField="1" showAll="0"/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Col" showAll="0">
      <items count="7">
        <item x="4"/>
        <item x="0"/>
        <item x="1"/>
        <item x="2"/>
        <item x="3"/>
        <item h="1" x="5"/>
        <item t="default"/>
      </items>
    </pivotField>
  </pivotFields>
  <rowFields count="1"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1">
    <field x="3"/>
  </colFields>
  <colItems count="5">
    <i>
      <x/>
    </i>
    <i>
      <x v="1"/>
    </i>
    <i>
      <x v="2"/>
    </i>
    <i>
      <x v="3"/>
    </i>
    <i>
      <x v="4"/>
    </i>
  </colItems>
  <pageFields count="1">
    <pageField fld="0" hier="-1"/>
  </pageFields>
  <dataFields count="1">
    <dataField name="Average of Value" fld="1" subtotal="average" baseField="2" baseItem="1"/>
  </dataFields>
  <formats count="2">
    <format dxfId="4">
      <pivotArea collapsedLevelsAreSubtotals="1" fieldPosition="0">
        <references count="2">
          <reference field="2" count="1">
            <x v="10"/>
          </reference>
          <reference field="3" count="1" selected="0">
            <x v="0"/>
          </reference>
        </references>
      </pivotArea>
    </format>
    <format dxfId="3">
      <pivotArea collapsedLevelsAreSubtotals="1" fieldPosition="0">
        <references count="2">
          <reference field="2" count="10">
            <x v="0"/>
            <x v="1"/>
            <x v="2"/>
            <x v="3"/>
            <x v="4"/>
            <x v="5"/>
            <x v="6"/>
            <x v="7"/>
            <x v="8"/>
            <x v="9"/>
          </reference>
          <reference field="3" count="4" selected="0">
            <x v="1"/>
            <x v="2"/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F35DF-9BD1-47B0-AEF9-22159B9F6C05}" name="Table1" displayName="Table1" ref="A1:D1261" totalsRowShown="0" headerRowDxfId="10" dataDxfId="9">
  <autoFilter ref="A1:D1261" xr:uid="{9FA541A0-F05E-4312-86A4-DF7EB46B7A91}"/>
  <tableColumns count="4">
    <tableColumn id="1" xr3:uid="{C1BF7595-FC99-4176-BC40-CA8B5C545C0F}" name="Iteration" dataDxfId="8"/>
    <tableColumn id="2" xr3:uid="{BD0E20FD-5554-428B-A6D1-B5E7CAAA910F}" name="Value" dataDxfId="7"/>
    <tableColumn id="3" xr3:uid="{8BF8CD18-CA32-4816-B533-1969DACA5F00}" name="Variable" dataDxfId="6"/>
    <tableColumn id="4" xr3:uid="{AD573777-6433-47EA-8566-CA806861CC73}" name="Year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youtu.be/p3QF50FmoJA?t=18m15s" TargetMode="External"/><Relationship Id="rId13" Type="http://schemas.openxmlformats.org/officeDocument/2006/relationships/hyperlink" Target="https://youtu.be/p3QF50FmoJA" TargetMode="External"/><Relationship Id="rId18" Type="http://schemas.openxmlformats.org/officeDocument/2006/relationships/hyperlink" Target="https://youtu.be/O_Is6lEov0Y?t=1m41s" TargetMode="External"/><Relationship Id="rId3" Type="http://schemas.openxmlformats.org/officeDocument/2006/relationships/hyperlink" Target="https://github.com/pyscripter/XLRisk" TargetMode="External"/><Relationship Id="rId7" Type="http://schemas.openxmlformats.org/officeDocument/2006/relationships/hyperlink" Target="https://youtu.be/p3QF50FmoJA?t=10m23s" TargetMode="External"/><Relationship Id="rId12" Type="http://schemas.openxmlformats.org/officeDocument/2006/relationships/hyperlink" Target="https://youtu.be/fQ_x3bCDMmk" TargetMode="External"/><Relationship Id="rId17" Type="http://schemas.openxmlformats.org/officeDocument/2006/relationships/hyperlink" Target="https://youtu.be/O_Is6lEov0Y" TargetMode="External"/><Relationship Id="rId2" Type="http://schemas.openxmlformats.org/officeDocument/2006/relationships/hyperlink" Target="https://solverstudio.org/" TargetMode="External"/><Relationship Id="rId16" Type="http://schemas.openxmlformats.org/officeDocument/2006/relationships/hyperlink" Target="https://youtu.be/fQ_x3bCDMmk?t=6m56s" TargetMode="External"/><Relationship Id="rId1" Type="http://schemas.openxmlformats.org/officeDocument/2006/relationships/hyperlink" Target="https://opensolver.org/" TargetMode="External"/><Relationship Id="rId6" Type="http://schemas.openxmlformats.org/officeDocument/2006/relationships/hyperlink" Target="https://coin-or.github.io/pulp/" TargetMode="External"/><Relationship Id="rId11" Type="http://schemas.openxmlformats.org/officeDocument/2006/relationships/hyperlink" Target="https://youtu.be/bvjbLbRm_yo" TargetMode="External"/><Relationship Id="rId5" Type="http://schemas.openxmlformats.org/officeDocument/2006/relationships/hyperlink" Target="https://pyomo.readthedocs.io/en/stable/" TargetMode="External"/><Relationship Id="rId15" Type="http://schemas.openxmlformats.org/officeDocument/2006/relationships/hyperlink" Target="https://youtu.be/ZIXZaWMvA6s?t=2m31s" TargetMode="External"/><Relationship Id="rId10" Type="http://schemas.openxmlformats.org/officeDocument/2006/relationships/hyperlink" Target="https://youtu.be/9mUhmCTMJQw" TargetMode="External"/><Relationship Id="rId19" Type="http://schemas.openxmlformats.org/officeDocument/2006/relationships/hyperlink" Target="https://youtu.be/Zknu2_ffqqw?t=4m19s" TargetMode="External"/><Relationship Id="rId4" Type="http://schemas.openxmlformats.org/officeDocument/2006/relationships/hyperlink" Target="https://www.solver.com/" TargetMode="External"/><Relationship Id="rId9" Type="http://schemas.openxmlformats.org/officeDocument/2006/relationships/hyperlink" Target="https://youtu.be/DzEQ0K6dpUs" TargetMode="External"/><Relationship Id="rId14" Type="http://schemas.openxmlformats.org/officeDocument/2006/relationships/hyperlink" Target="https://youtu.be/Zknu2_ffqqw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A9724-D1C7-4D54-8D13-416E82961FB8}">
  <sheetPr codeName="Sheet9"/>
  <dimension ref="B2:D25"/>
  <sheetViews>
    <sheetView tabSelected="1" workbookViewId="0">
      <selection activeCell="D16" sqref="D16"/>
    </sheetView>
  </sheetViews>
  <sheetFormatPr defaultRowHeight="15" x14ac:dyDescent="0.25"/>
  <cols>
    <col min="1" max="1" width="4" customWidth="1"/>
    <col min="2" max="2" width="23.140625" style="68" bestFit="1" customWidth="1"/>
    <col min="3" max="3" width="102.85546875" style="68" customWidth="1"/>
    <col min="4" max="4" width="46.140625" style="68" customWidth="1"/>
  </cols>
  <sheetData>
    <row r="2" spans="2:4" ht="31.5" x14ac:dyDescent="0.25">
      <c r="B2" s="102" t="s">
        <v>124</v>
      </c>
    </row>
    <row r="3" spans="2:4" x14ac:dyDescent="0.25">
      <c r="B3" s="74" t="s">
        <v>116</v>
      </c>
    </row>
    <row r="4" spans="2:4" x14ac:dyDescent="0.25">
      <c r="B4" s="75">
        <v>44075</v>
      </c>
    </row>
    <row r="5" spans="2:4" ht="15.75" thickBot="1" x14ac:dyDescent="0.3">
      <c r="B5" s="75"/>
    </row>
    <row r="6" spans="2:4" ht="15.75" thickBot="1" x14ac:dyDescent="0.3">
      <c r="B6" s="79" t="s">
        <v>113</v>
      </c>
      <c r="C6" s="80" t="s">
        <v>114</v>
      </c>
      <c r="D6" s="69" t="s">
        <v>317</v>
      </c>
    </row>
    <row r="7" spans="2:4" ht="15.75" thickBot="1" x14ac:dyDescent="0.3">
      <c r="B7" s="85" t="s">
        <v>318</v>
      </c>
      <c r="C7" s="86"/>
      <c r="D7" s="87" t="s">
        <v>322</v>
      </c>
    </row>
    <row r="8" spans="2:4" x14ac:dyDescent="0.25">
      <c r="B8" s="88" t="s">
        <v>104</v>
      </c>
      <c r="C8" s="89" t="s">
        <v>117</v>
      </c>
      <c r="D8" s="103" t="s">
        <v>323</v>
      </c>
    </row>
    <row r="9" spans="2:4" ht="15.75" thickBot="1" x14ac:dyDescent="0.3">
      <c r="B9" s="90" t="s">
        <v>105</v>
      </c>
      <c r="C9" s="91" t="s">
        <v>118</v>
      </c>
      <c r="D9" s="104"/>
    </row>
    <row r="10" spans="2:4" ht="30.75" thickBot="1" x14ac:dyDescent="0.3">
      <c r="B10" s="92" t="s">
        <v>106</v>
      </c>
      <c r="C10" s="86" t="s">
        <v>119</v>
      </c>
      <c r="D10" s="87" t="s">
        <v>325</v>
      </c>
    </row>
    <row r="11" spans="2:4" x14ac:dyDescent="0.25">
      <c r="B11" s="93" t="s">
        <v>107</v>
      </c>
      <c r="C11" s="94" t="s">
        <v>120</v>
      </c>
      <c r="D11" s="105" t="s">
        <v>326</v>
      </c>
    </row>
    <row r="12" spans="2:4" ht="15.75" thickBot="1" x14ac:dyDescent="0.3">
      <c r="B12" s="95" t="s">
        <v>115</v>
      </c>
      <c r="C12" s="96" t="s">
        <v>121</v>
      </c>
      <c r="D12" s="106"/>
    </row>
    <row r="13" spans="2:4" ht="15.75" thickBot="1" x14ac:dyDescent="0.3">
      <c r="B13" s="92" t="s">
        <v>108</v>
      </c>
      <c r="C13" s="86" t="s">
        <v>122</v>
      </c>
      <c r="D13" s="87" t="s">
        <v>328</v>
      </c>
    </row>
    <row r="14" spans="2:4" x14ac:dyDescent="0.25">
      <c r="B14" s="97" t="s">
        <v>186</v>
      </c>
      <c r="C14" s="98" t="s">
        <v>123</v>
      </c>
      <c r="D14" s="107" t="s">
        <v>329</v>
      </c>
    </row>
    <row r="15" spans="2:4" ht="30.75" thickBot="1" x14ac:dyDescent="0.3">
      <c r="B15" s="99" t="s">
        <v>185</v>
      </c>
      <c r="C15" s="100" t="s">
        <v>316</v>
      </c>
      <c r="D15" s="108"/>
    </row>
    <row r="16" spans="2:4" ht="15.75" thickBot="1" x14ac:dyDescent="0.3">
      <c r="B16" s="101" t="s">
        <v>319</v>
      </c>
      <c r="C16" s="86"/>
      <c r="D16" s="87" t="s">
        <v>324</v>
      </c>
    </row>
    <row r="17" spans="2:4" x14ac:dyDescent="0.25">
      <c r="C17" s="72"/>
    </row>
    <row r="18" spans="2:4" ht="15.75" thickBot="1" x14ac:dyDescent="0.3">
      <c r="B18" s="78" t="s">
        <v>189</v>
      </c>
      <c r="C18" s="72"/>
    </row>
    <row r="19" spans="2:4" x14ac:dyDescent="0.25">
      <c r="B19" s="76" t="s">
        <v>109</v>
      </c>
      <c r="C19" s="70" t="s">
        <v>126</v>
      </c>
      <c r="D19" s="81" t="s">
        <v>320</v>
      </c>
    </row>
    <row r="20" spans="2:4" ht="18" customHeight="1" x14ac:dyDescent="0.25">
      <c r="B20" s="82" t="s">
        <v>110</v>
      </c>
      <c r="C20" s="73" t="s">
        <v>327</v>
      </c>
      <c r="D20" s="83" t="s">
        <v>334</v>
      </c>
    </row>
    <row r="21" spans="2:4" x14ac:dyDescent="0.25">
      <c r="B21" s="82" t="s">
        <v>111</v>
      </c>
      <c r="C21" s="73" t="s">
        <v>125</v>
      </c>
      <c r="D21" s="83" t="s">
        <v>333</v>
      </c>
    </row>
    <row r="22" spans="2:4" x14ac:dyDescent="0.25">
      <c r="B22" s="82" t="s">
        <v>187</v>
      </c>
      <c r="C22" s="73" t="s">
        <v>190</v>
      </c>
      <c r="D22" s="83" t="s">
        <v>331</v>
      </c>
    </row>
    <row r="23" spans="2:4" x14ac:dyDescent="0.25">
      <c r="B23" s="82" t="s">
        <v>188</v>
      </c>
      <c r="C23" s="73" t="s">
        <v>332</v>
      </c>
      <c r="D23" s="83" t="s">
        <v>321</v>
      </c>
    </row>
    <row r="24" spans="2:4" ht="15.75" thickBot="1" x14ac:dyDescent="0.3">
      <c r="B24" s="77" t="s">
        <v>112</v>
      </c>
      <c r="C24" s="71" t="s">
        <v>127</v>
      </c>
      <c r="D24" s="84" t="s">
        <v>330</v>
      </c>
    </row>
    <row r="25" spans="2:4" x14ac:dyDescent="0.25">
      <c r="C25" s="72"/>
    </row>
  </sheetData>
  <mergeCells count="3">
    <mergeCell ref="D8:D9"/>
    <mergeCell ref="D11:D12"/>
    <mergeCell ref="D14:D15"/>
  </mergeCells>
  <hyperlinks>
    <hyperlink ref="B8" location="Scenario_01!A1" display="Scenario 01" xr:uid="{12C9547D-ACB7-45CC-9DE6-63D25EF421DA}"/>
    <hyperlink ref="B9" location="Scenario_02!A1" display="Scenario 02" xr:uid="{26C2BB65-2AE1-401D-A58C-B21C4D82D810}"/>
    <hyperlink ref="B10" location="Scenario_03!A1" display="Scenario 03" xr:uid="{EE03F944-6F4B-4C8A-A677-A0500563CDDD}"/>
    <hyperlink ref="B11" location="Scenario_04!A1" display="Scenario 04" xr:uid="{4F295310-0D78-4523-882E-4CF142E3084A}"/>
    <hyperlink ref="B13" location="Scenario_05_Stochastic!A1" display="Scenario 05" xr:uid="{7F53C745-595F-468C-A993-75E9B2505CCF}"/>
    <hyperlink ref="B19" r:id="rId1" xr:uid="{5F3866B7-4C16-402A-916A-539F71B65C76}"/>
    <hyperlink ref="B20" r:id="rId2" xr:uid="{ABA486FD-0770-4FAA-8145-0C3863824074}"/>
    <hyperlink ref="B21" r:id="rId3" xr:uid="{031DFA91-A239-438D-9CFC-6CC51F805662}"/>
    <hyperlink ref="B24" r:id="rId4" xr:uid="{279643EC-4DAB-418B-84F7-80CA3B6971FD}"/>
    <hyperlink ref="B14" location="'Scenario_06a_Stochastic w FL_AS'!A1" display="Scenario 06" xr:uid="{5C9F6DE3-D4E3-4AD6-A3AF-C2E2EEF28460}"/>
    <hyperlink ref="B23" r:id="rId5" xr:uid="{A8261AC6-A15F-4504-A4E6-696413514E03}"/>
    <hyperlink ref="B22" r:id="rId6" xr:uid="{12E33B84-B4E0-4FA1-BBC5-F77EC4E0D0DF}"/>
    <hyperlink ref="D19" r:id="rId7" xr:uid="{41D382B2-2C8D-4839-8678-DB12865905C5}"/>
    <hyperlink ref="D23" r:id="rId8" xr:uid="{C338DA48-52FA-46F6-B4A3-8D97CC0DFC44}"/>
    <hyperlink ref="D7" r:id="rId9" xr:uid="{E5ED0156-3713-4871-97A8-595E664250EC}"/>
    <hyperlink ref="D8" r:id="rId10" xr:uid="{6842B944-F98E-4C79-B8D6-4983D682BACC}"/>
    <hyperlink ref="D16" r:id="rId11" xr:uid="{89464EAE-6999-46F4-B043-B1B9D20A624F}"/>
    <hyperlink ref="D10" r:id="rId12" xr:uid="{E6B18AFC-39A1-4652-B9CC-A05D9F69C0CB}"/>
    <hyperlink ref="D11" r:id="rId13" xr:uid="{B5D63B21-1D28-48CB-85DF-FAA20C7BC2A4}"/>
    <hyperlink ref="D13" r:id="rId14" xr:uid="{0CFB817B-8FB2-4802-B244-2460140C48B1}"/>
    <hyperlink ref="D20" r:id="rId15" xr:uid="{97CDFAED-878A-4495-A177-E0D7E5493886}"/>
    <hyperlink ref="D22" r:id="rId16" xr:uid="{55844400-23CB-4300-BA94-9B003025B620}"/>
    <hyperlink ref="D14" r:id="rId17" xr:uid="{69810F3C-B812-49F0-8923-BE977D4D68BF}"/>
    <hyperlink ref="D24" r:id="rId18" xr:uid="{F8E7BD02-FDB7-43CA-94C9-A96F063F843F}"/>
    <hyperlink ref="D21" r:id="rId19" xr:uid="{A6C3F518-D2B3-469A-957C-7916BC767D12}"/>
    <hyperlink ref="B12" location="Scenario_04_AsTabularList!A1" display="Scenario 04a" xr:uid="{D711EF25-8923-4B0B-B238-D08327EAFE90}"/>
    <hyperlink ref="B15" location="'Scenario_06b_Stochastic w FL AS'!A1" display="Scenario 06b" xr:uid="{66A4C7D7-776B-40C3-B3C7-4041F6BB5CE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F1E2-310F-43E1-A2D2-C8F90326BD73}">
  <sheetPr codeName="Sheet5"/>
  <dimension ref="A1:L15"/>
  <sheetViews>
    <sheetView workbookViewId="0">
      <selection activeCell="N17" sqref="N17"/>
    </sheetView>
  </sheetViews>
  <sheetFormatPr defaultRowHeight="15" outlineLevelCol="1" x14ac:dyDescent="0.25"/>
  <cols>
    <col min="1" max="1" width="3.42578125" customWidth="1"/>
    <col min="2" max="2" width="3" bestFit="1" customWidth="1"/>
    <col min="3" max="3" width="15.85546875" style="4" bestFit="1" customWidth="1"/>
    <col min="4" max="4" width="13.5703125" style="4" bestFit="1" customWidth="1"/>
    <col min="5" max="5" width="9" style="4" bestFit="1" customWidth="1"/>
    <col min="6" max="6" width="7.140625" style="4" bestFit="1" customWidth="1"/>
    <col min="7" max="7" width="6.7109375" style="4" bestFit="1" customWidth="1"/>
    <col min="8" max="8" width="4.85546875" style="4" bestFit="1" customWidth="1"/>
    <col min="9" max="9" width="7.85546875" style="4" bestFit="1" customWidth="1"/>
    <col min="10" max="10" width="14.140625" style="4" bestFit="1" customWidth="1"/>
    <col min="11" max="11" width="12.5703125" style="4" bestFit="1" customWidth="1"/>
    <col min="12" max="12" width="17.28515625" style="4" customWidth="1" outlineLevel="1"/>
  </cols>
  <sheetData>
    <row r="1" spans="1:12" x14ac:dyDescent="0.25">
      <c r="A1" s="13"/>
    </row>
    <row r="2" spans="1:12" x14ac:dyDescent="0.25">
      <c r="A2" s="4" t="s">
        <v>87</v>
      </c>
      <c r="B2" s="6" t="s">
        <v>0</v>
      </c>
      <c r="C2" s="6" t="s">
        <v>82</v>
      </c>
      <c r="D2" s="24" t="s">
        <v>85</v>
      </c>
      <c r="E2" s="24" t="s">
        <v>83</v>
      </c>
      <c r="F2" s="24" t="s">
        <v>84</v>
      </c>
      <c r="G2" s="6" t="s">
        <v>2</v>
      </c>
      <c r="H2" s="6" t="s">
        <v>27</v>
      </c>
      <c r="I2" s="6" t="s">
        <v>35</v>
      </c>
      <c r="J2" s="6" t="s">
        <v>63</v>
      </c>
      <c r="K2" s="6" t="s">
        <v>34</v>
      </c>
      <c r="L2" s="20" t="s">
        <v>88</v>
      </c>
    </row>
    <row r="3" spans="1:12" x14ac:dyDescent="0.25">
      <c r="A3" s="4">
        <v>1</v>
      </c>
      <c r="B3" s="6">
        <v>1</v>
      </c>
      <c r="C3" s="6" t="s">
        <v>64</v>
      </c>
      <c r="D3" s="11" t="s">
        <v>67</v>
      </c>
      <c r="E3" s="11" t="s">
        <v>65</v>
      </c>
      <c r="F3" s="11" t="s">
        <v>66</v>
      </c>
      <c r="G3" s="6">
        <v>5</v>
      </c>
      <c r="H3" s="6">
        <v>6</v>
      </c>
      <c r="I3" s="6">
        <v>0</v>
      </c>
      <c r="J3" s="6">
        <f t="shared" ref="J3:J12" si="0">G3*I3</f>
        <v>0</v>
      </c>
      <c r="K3" s="6">
        <f t="shared" ref="K3:K12" si="1">I3*H3</f>
        <v>0</v>
      </c>
      <c r="L3" s="11">
        <f>H3/G3</f>
        <v>1.2</v>
      </c>
    </row>
    <row r="4" spans="1:12" x14ac:dyDescent="0.25">
      <c r="A4" s="4">
        <v>2</v>
      </c>
      <c r="B4" s="6">
        <v>2</v>
      </c>
      <c r="C4" s="6" t="s">
        <v>68</v>
      </c>
      <c r="D4" s="11" t="s">
        <v>67</v>
      </c>
      <c r="E4" s="11" t="s">
        <v>69</v>
      </c>
      <c r="F4" s="11" t="s">
        <v>70</v>
      </c>
      <c r="G4" s="6">
        <v>10</v>
      </c>
      <c r="H4" s="6">
        <v>11</v>
      </c>
      <c r="I4" s="6">
        <v>0</v>
      </c>
      <c r="J4" s="6">
        <f t="shared" si="0"/>
        <v>0</v>
      </c>
      <c r="K4" s="6">
        <f t="shared" si="1"/>
        <v>0</v>
      </c>
      <c r="L4" s="11">
        <f t="shared" ref="L4:L12" si="2">H4/G4</f>
        <v>1.1000000000000001</v>
      </c>
    </row>
    <row r="5" spans="1:12" x14ac:dyDescent="0.25">
      <c r="A5" s="4">
        <v>3</v>
      </c>
      <c r="B5" s="6">
        <v>3</v>
      </c>
      <c r="C5" s="6" t="s">
        <v>71</v>
      </c>
      <c r="D5" s="11" t="s">
        <v>67</v>
      </c>
      <c r="E5" s="11" t="s">
        <v>72</v>
      </c>
      <c r="F5" s="11" t="s">
        <v>73</v>
      </c>
      <c r="G5" s="6">
        <v>10</v>
      </c>
      <c r="H5" s="6">
        <v>14</v>
      </c>
      <c r="I5" s="6">
        <v>1</v>
      </c>
      <c r="J5" s="6">
        <f t="shared" si="0"/>
        <v>10</v>
      </c>
      <c r="K5" s="6">
        <f t="shared" si="1"/>
        <v>14</v>
      </c>
      <c r="L5" s="11">
        <f t="shared" si="2"/>
        <v>1.4</v>
      </c>
    </row>
    <row r="6" spans="1:12" x14ac:dyDescent="0.25">
      <c r="A6" s="4">
        <v>4</v>
      </c>
      <c r="B6" s="6">
        <v>4</v>
      </c>
      <c r="C6" s="6" t="s">
        <v>74</v>
      </c>
      <c r="D6" s="11" t="s">
        <v>76</v>
      </c>
      <c r="E6" s="11" t="s">
        <v>75</v>
      </c>
      <c r="F6" s="11" t="s">
        <v>66</v>
      </c>
      <c r="G6" s="6">
        <v>5</v>
      </c>
      <c r="H6" s="6">
        <v>7</v>
      </c>
      <c r="I6" s="6">
        <v>1</v>
      </c>
      <c r="J6" s="6">
        <f t="shared" si="0"/>
        <v>5</v>
      </c>
      <c r="K6" s="6">
        <f t="shared" si="1"/>
        <v>7</v>
      </c>
      <c r="L6" s="11">
        <f t="shared" si="2"/>
        <v>1.4</v>
      </c>
    </row>
    <row r="7" spans="1:12" x14ac:dyDescent="0.25">
      <c r="A7" s="4">
        <v>5</v>
      </c>
      <c r="B7" s="6">
        <v>5</v>
      </c>
      <c r="C7" s="6" t="s">
        <v>64</v>
      </c>
      <c r="D7" s="11" t="s">
        <v>67</v>
      </c>
      <c r="E7" s="11" t="s">
        <v>72</v>
      </c>
      <c r="F7" s="11" t="s">
        <v>73</v>
      </c>
      <c r="G7" s="6">
        <v>10</v>
      </c>
      <c r="H7" s="6">
        <v>12</v>
      </c>
      <c r="I7" s="6">
        <v>0</v>
      </c>
      <c r="J7" s="6">
        <f t="shared" si="0"/>
        <v>0</v>
      </c>
      <c r="K7" s="6">
        <f t="shared" si="1"/>
        <v>0</v>
      </c>
      <c r="L7" s="11">
        <f t="shared" si="2"/>
        <v>1.2</v>
      </c>
    </row>
    <row r="8" spans="1:12" x14ac:dyDescent="0.25">
      <c r="A8" s="4">
        <v>6</v>
      </c>
      <c r="B8" s="20">
        <v>6</v>
      </c>
      <c r="C8" s="6" t="s">
        <v>77</v>
      </c>
      <c r="D8" s="11" t="s">
        <v>76</v>
      </c>
      <c r="E8" s="11" t="s">
        <v>72</v>
      </c>
      <c r="F8" s="11" t="s">
        <v>73</v>
      </c>
      <c r="G8" s="20">
        <v>15</v>
      </c>
      <c r="H8" s="20">
        <v>20</v>
      </c>
      <c r="I8" s="6">
        <v>0</v>
      </c>
      <c r="J8" s="6">
        <f t="shared" si="0"/>
        <v>0</v>
      </c>
      <c r="K8" s="6">
        <f t="shared" si="1"/>
        <v>0</v>
      </c>
      <c r="L8" s="11">
        <f t="shared" si="2"/>
        <v>1.3333333333333333</v>
      </c>
    </row>
    <row r="9" spans="1:12" x14ac:dyDescent="0.25">
      <c r="A9" s="4">
        <v>7</v>
      </c>
      <c r="B9" s="20">
        <v>7</v>
      </c>
      <c r="C9" s="6" t="s">
        <v>78</v>
      </c>
      <c r="D9" s="11" t="s">
        <v>76</v>
      </c>
      <c r="E9" s="11" t="s">
        <v>69</v>
      </c>
      <c r="F9" s="11" t="s">
        <v>70</v>
      </c>
      <c r="G9" s="6">
        <v>15</v>
      </c>
      <c r="H9" s="6">
        <v>16</v>
      </c>
      <c r="I9" s="6">
        <v>0</v>
      </c>
      <c r="J9" s="6">
        <f t="shared" si="0"/>
        <v>0</v>
      </c>
      <c r="K9" s="6">
        <f t="shared" si="1"/>
        <v>0</v>
      </c>
      <c r="L9" s="11">
        <f t="shared" si="2"/>
        <v>1.0666666666666667</v>
      </c>
    </row>
    <row r="10" spans="1:12" x14ac:dyDescent="0.25">
      <c r="A10" s="4">
        <v>8</v>
      </c>
      <c r="B10" s="20">
        <v>8</v>
      </c>
      <c r="C10" s="6" t="s">
        <v>64</v>
      </c>
      <c r="D10" s="11" t="s">
        <v>67</v>
      </c>
      <c r="E10" s="11" t="s">
        <v>75</v>
      </c>
      <c r="F10" s="11" t="s">
        <v>66</v>
      </c>
      <c r="G10" s="20">
        <v>2</v>
      </c>
      <c r="H10" s="20">
        <v>5</v>
      </c>
      <c r="I10" s="6">
        <v>1</v>
      </c>
      <c r="J10" s="6">
        <f t="shared" si="0"/>
        <v>2</v>
      </c>
      <c r="K10" s="6">
        <f t="shared" si="1"/>
        <v>5</v>
      </c>
      <c r="L10" s="11">
        <f t="shared" si="2"/>
        <v>2.5</v>
      </c>
    </row>
    <row r="11" spans="1:12" x14ac:dyDescent="0.25">
      <c r="A11" s="4">
        <v>9</v>
      </c>
      <c r="B11" s="20">
        <v>9</v>
      </c>
      <c r="C11" s="6" t="s">
        <v>78</v>
      </c>
      <c r="D11" s="11" t="s">
        <v>76</v>
      </c>
      <c r="E11" s="11" t="s">
        <v>79</v>
      </c>
      <c r="F11" s="11" t="s">
        <v>80</v>
      </c>
      <c r="G11" s="20">
        <v>3</v>
      </c>
      <c r="H11" s="20">
        <v>4</v>
      </c>
      <c r="I11" s="6">
        <v>1</v>
      </c>
      <c r="J11" s="6">
        <f t="shared" si="0"/>
        <v>3</v>
      </c>
      <c r="K11" s="6">
        <f t="shared" si="1"/>
        <v>4</v>
      </c>
      <c r="L11" s="11">
        <f t="shared" si="2"/>
        <v>1.3333333333333333</v>
      </c>
    </row>
    <row r="12" spans="1:12" x14ac:dyDescent="0.25">
      <c r="A12" s="4">
        <v>10</v>
      </c>
      <c r="B12" s="20">
        <v>10</v>
      </c>
      <c r="C12" s="6" t="s">
        <v>64</v>
      </c>
      <c r="D12" s="11" t="s">
        <v>67</v>
      </c>
      <c r="E12" s="11" t="s">
        <v>81</v>
      </c>
      <c r="F12" s="11" t="s">
        <v>73</v>
      </c>
      <c r="G12" s="20">
        <v>7</v>
      </c>
      <c r="H12" s="20">
        <v>9</v>
      </c>
      <c r="I12" s="6">
        <v>0</v>
      </c>
      <c r="J12" s="6">
        <f t="shared" si="0"/>
        <v>0</v>
      </c>
      <c r="K12" s="6">
        <f t="shared" si="1"/>
        <v>0</v>
      </c>
      <c r="L12" s="11">
        <f t="shared" si="2"/>
        <v>1.2857142857142858</v>
      </c>
    </row>
    <row r="13" spans="1:12" x14ac:dyDescent="0.25">
      <c r="A13" s="4"/>
      <c r="B13" s="4"/>
    </row>
    <row r="14" spans="1:12" ht="15.75" x14ac:dyDescent="0.25">
      <c r="A14" s="4"/>
      <c r="B14" s="4"/>
      <c r="D14" s="7"/>
      <c r="E14" s="7"/>
      <c r="F14" s="7"/>
      <c r="J14" s="4">
        <f>SUM(J3:J12)</f>
        <v>20</v>
      </c>
      <c r="K14" s="4">
        <f>SUM(K3:K12)</f>
        <v>30</v>
      </c>
      <c r="L14" s="23"/>
    </row>
    <row r="15" spans="1:12" x14ac:dyDescent="0.25">
      <c r="J15" s="4">
        <v>20</v>
      </c>
    </row>
  </sheetData>
  <sortState xmlns:xlrd2="http://schemas.microsoft.com/office/spreadsheetml/2017/richdata2" ref="A3:L12">
    <sortCondition ref="B3:B1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ADD2E-991D-4032-B716-4D9FAB1ED07E}">
  <sheetPr codeName="Sheet6"/>
  <dimension ref="A1:U60"/>
  <sheetViews>
    <sheetView workbookViewId="0">
      <selection activeCell="I11" sqref="I11:K11"/>
    </sheetView>
  </sheetViews>
  <sheetFormatPr defaultRowHeight="15" x14ac:dyDescent="0.25"/>
  <cols>
    <col min="1" max="2" width="3" bestFit="1" customWidth="1"/>
    <col min="3" max="3" width="43.140625" style="9" bestFit="1" customWidth="1"/>
    <col min="4" max="4" width="13.5703125" style="9" bestFit="1" customWidth="1"/>
    <col min="5" max="5" width="9" style="4" bestFit="1" customWidth="1"/>
    <col min="6" max="6" width="7.140625" style="4" bestFit="1" customWidth="1"/>
    <col min="7" max="7" width="6.7109375" style="4" bestFit="1" customWidth="1"/>
    <col min="8" max="8" width="5.28515625" style="4" customWidth="1"/>
    <col min="9" max="11" width="9.85546875" style="4" bestFit="1" customWidth="1"/>
    <col min="12" max="12" width="16.5703125" style="4" bestFit="1" customWidth="1"/>
    <col min="13" max="15" width="9.85546875" style="4" bestFit="1" customWidth="1"/>
    <col min="16" max="16" width="7.28515625" style="4" customWidth="1"/>
    <col min="19" max="19" width="7.42578125" style="4" customWidth="1"/>
    <col min="20" max="20" width="20.5703125" style="4" bestFit="1" customWidth="1"/>
    <col min="21" max="21" width="18.7109375" style="4" customWidth="1"/>
  </cols>
  <sheetData>
    <row r="1" spans="1:21" x14ac:dyDescent="0.25">
      <c r="A1" s="13"/>
    </row>
    <row r="2" spans="1:21" x14ac:dyDescent="0.25">
      <c r="A2" s="4"/>
      <c r="B2" s="6" t="s">
        <v>0</v>
      </c>
      <c r="C2" s="12" t="s">
        <v>82</v>
      </c>
      <c r="D2" s="25" t="s">
        <v>85</v>
      </c>
      <c r="E2" s="24" t="s">
        <v>83</v>
      </c>
      <c r="F2" s="24" t="s">
        <v>84</v>
      </c>
      <c r="G2" s="6" t="s">
        <v>2</v>
      </c>
      <c r="H2" s="6" t="s">
        <v>27</v>
      </c>
      <c r="I2" s="6" t="s">
        <v>36</v>
      </c>
      <c r="J2" s="6" t="s">
        <v>37</v>
      </c>
      <c r="K2" s="6" t="s">
        <v>38</v>
      </c>
      <c r="L2" s="6" t="s">
        <v>86</v>
      </c>
      <c r="M2" s="6" t="s">
        <v>36</v>
      </c>
      <c r="N2" s="6" t="s">
        <v>37</v>
      </c>
      <c r="O2" s="6" t="s">
        <v>38</v>
      </c>
      <c r="P2" s="6" t="s">
        <v>27</v>
      </c>
      <c r="S2" s="10"/>
      <c r="T2" s="10"/>
      <c r="U2" s="10"/>
    </row>
    <row r="3" spans="1:21" x14ac:dyDescent="0.25">
      <c r="A3" s="4">
        <v>1</v>
      </c>
      <c r="B3" s="6">
        <v>1</v>
      </c>
      <c r="C3" s="12" t="s">
        <v>64</v>
      </c>
      <c r="D3" s="26" t="s">
        <v>67</v>
      </c>
      <c r="E3" s="11" t="s">
        <v>65</v>
      </c>
      <c r="F3" s="11" t="s">
        <v>66</v>
      </c>
      <c r="G3" s="6">
        <v>5</v>
      </c>
      <c r="H3" s="6">
        <v>6</v>
      </c>
      <c r="I3" s="6">
        <v>4</v>
      </c>
      <c r="J3" s="6">
        <v>1</v>
      </c>
      <c r="K3" s="6">
        <v>0</v>
      </c>
      <c r="L3" s="6">
        <v>0</v>
      </c>
      <c r="M3" s="6">
        <f>$L3*I3</f>
        <v>0</v>
      </c>
      <c r="N3" s="6">
        <f>$L3*J3</f>
        <v>0</v>
      </c>
      <c r="O3" s="6">
        <f>$L3*K3</f>
        <v>0</v>
      </c>
      <c r="P3" s="6">
        <f>L3*H3</f>
        <v>0</v>
      </c>
      <c r="S3" s="10"/>
      <c r="T3" s="10"/>
      <c r="U3" s="5"/>
    </row>
    <row r="4" spans="1:21" x14ac:dyDescent="0.25">
      <c r="A4" s="4">
        <v>2</v>
      </c>
      <c r="B4" s="6">
        <v>2</v>
      </c>
      <c r="C4" s="12" t="s">
        <v>68</v>
      </c>
      <c r="D4" s="26" t="s">
        <v>67</v>
      </c>
      <c r="E4" s="11" t="s">
        <v>69</v>
      </c>
      <c r="F4" s="11" t="s">
        <v>70</v>
      </c>
      <c r="G4" s="6">
        <v>10</v>
      </c>
      <c r="H4" s="6">
        <v>11</v>
      </c>
      <c r="I4" s="6">
        <v>1</v>
      </c>
      <c r="J4" s="6">
        <v>5</v>
      </c>
      <c r="K4" s="6">
        <v>4</v>
      </c>
      <c r="L4" s="6">
        <v>1</v>
      </c>
      <c r="M4" s="6">
        <f t="shared" ref="M4:M12" si="0">$L4*I4</f>
        <v>1</v>
      </c>
      <c r="N4" s="6">
        <f t="shared" ref="N4:N12" si="1">$L4*J4</f>
        <v>5</v>
      </c>
      <c r="O4" s="6">
        <f t="shared" ref="O4:O12" si="2">$L4*K4</f>
        <v>4</v>
      </c>
      <c r="P4" s="6">
        <f t="shared" ref="P4:P12" si="3">L4*H4</f>
        <v>11</v>
      </c>
      <c r="S4" s="10"/>
      <c r="T4" s="10"/>
      <c r="U4" s="5"/>
    </row>
    <row r="5" spans="1:21" x14ac:dyDescent="0.25">
      <c r="A5" s="4">
        <v>3</v>
      </c>
      <c r="B5" s="6">
        <v>3</v>
      </c>
      <c r="C5" s="12" t="s">
        <v>71</v>
      </c>
      <c r="D5" s="26" t="s">
        <v>67</v>
      </c>
      <c r="E5" s="11" t="s">
        <v>72</v>
      </c>
      <c r="F5" s="11" t="s">
        <v>73</v>
      </c>
      <c r="G5" s="6">
        <v>10</v>
      </c>
      <c r="H5" s="6">
        <v>14</v>
      </c>
      <c r="I5" s="6">
        <v>2</v>
      </c>
      <c r="J5" s="6">
        <v>4</v>
      </c>
      <c r="K5" s="6">
        <v>4</v>
      </c>
      <c r="L5" s="6">
        <v>1</v>
      </c>
      <c r="M5" s="6">
        <f t="shared" si="0"/>
        <v>2</v>
      </c>
      <c r="N5" s="6">
        <f t="shared" si="1"/>
        <v>4</v>
      </c>
      <c r="O5" s="6">
        <f t="shared" si="2"/>
        <v>4</v>
      </c>
      <c r="P5" s="6">
        <f t="shared" si="3"/>
        <v>14</v>
      </c>
      <c r="S5" s="10"/>
      <c r="T5" s="10"/>
      <c r="U5" s="5"/>
    </row>
    <row r="6" spans="1:21" x14ac:dyDescent="0.25">
      <c r="A6" s="4">
        <v>4</v>
      </c>
      <c r="B6" s="6">
        <v>4</v>
      </c>
      <c r="C6" s="12" t="s">
        <v>74</v>
      </c>
      <c r="D6" s="26" t="s">
        <v>76</v>
      </c>
      <c r="E6" s="11" t="s">
        <v>75</v>
      </c>
      <c r="F6" s="11" t="s">
        <v>66</v>
      </c>
      <c r="G6" s="6">
        <v>5</v>
      </c>
      <c r="H6" s="6">
        <v>7</v>
      </c>
      <c r="I6" s="6">
        <v>5</v>
      </c>
      <c r="J6" s="6">
        <v>0</v>
      </c>
      <c r="K6" s="6">
        <v>0</v>
      </c>
      <c r="L6" s="6">
        <v>0</v>
      </c>
      <c r="M6" s="6">
        <f t="shared" si="0"/>
        <v>0</v>
      </c>
      <c r="N6" s="6">
        <f t="shared" si="1"/>
        <v>0</v>
      </c>
      <c r="O6" s="6">
        <f t="shared" si="2"/>
        <v>0</v>
      </c>
      <c r="P6" s="6">
        <f t="shared" si="3"/>
        <v>0</v>
      </c>
      <c r="S6" s="10"/>
      <c r="T6" s="10"/>
      <c r="U6" s="5"/>
    </row>
    <row r="7" spans="1:21" x14ac:dyDescent="0.25">
      <c r="A7" s="4">
        <v>5</v>
      </c>
      <c r="B7" s="6">
        <v>5</v>
      </c>
      <c r="C7" s="12" t="s">
        <v>64</v>
      </c>
      <c r="D7" s="26" t="s">
        <v>67</v>
      </c>
      <c r="E7" s="11" t="s">
        <v>72</v>
      </c>
      <c r="F7" s="11" t="s">
        <v>73</v>
      </c>
      <c r="G7" s="6">
        <v>10</v>
      </c>
      <c r="H7" s="6">
        <v>12</v>
      </c>
      <c r="I7" s="6">
        <v>4</v>
      </c>
      <c r="J7" s="6">
        <v>4</v>
      </c>
      <c r="K7" s="6">
        <v>2</v>
      </c>
      <c r="L7" s="6">
        <v>1</v>
      </c>
      <c r="M7" s="6">
        <f t="shared" si="0"/>
        <v>4</v>
      </c>
      <c r="N7" s="6">
        <f t="shared" si="1"/>
        <v>4</v>
      </c>
      <c r="O7" s="6">
        <f t="shared" si="2"/>
        <v>2</v>
      </c>
      <c r="P7" s="6">
        <f t="shared" si="3"/>
        <v>12</v>
      </c>
      <c r="S7" s="10"/>
      <c r="T7" s="10"/>
      <c r="U7" s="5"/>
    </row>
    <row r="8" spans="1:21" x14ac:dyDescent="0.25">
      <c r="A8" s="4">
        <v>6</v>
      </c>
      <c r="B8" s="20">
        <v>6</v>
      </c>
      <c r="C8" s="12" t="s">
        <v>77</v>
      </c>
      <c r="D8" s="26" t="s">
        <v>76</v>
      </c>
      <c r="E8" s="11" t="s">
        <v>72</v>
      </c>
      <c r="F8" s="11" t="s">
        <v>73</v>
      </c>
      <c r="G8" s="20">
        <v>15</v>
      </c>
      <c r="H8" s="20">
        <v>20</v>
      </c>
      <c r="I8" s="20">
        <v>7</v>
      </c>
      <c r="J8" s="20">
        <v>8</v>
      </c>
      <c r="K8" s="20">
        <v>0</v>
      </c>
      <c r="L8" s="6">
        <v>0</v>
      </c>
      <c r="M8" s="6">
        <f t="shared" si="0"/>
        <v>0</v>
      </c>
      <c r="N8" s="6">
        <f t="shared" si="1"/>
        <v>0</v>
      </c>
      <c r="O8" s="6">
        <f t="shared" si="2"/>
        <v>0</v>
      </c>
      <c r="P8" s="6">
        <f t="shared" si="3"/>
        <v>0</v>
      </c>
      <c r="S8" s="10"/>
      <c r="T8" s="10"/>
      <c r="U8" s="5"/>
    </row>
    <row r="9" spans="1:21" x14ac:dyDescent="0.25">
      <c r="A9" s="4">
        <v>7</v>
      </c>
      <c r="B9" s="20">
        <v>7</v>
      </c>
      <c r="C9" s="12" t="s">
        <v>78</v>
      </c>
      <c r="D9" s="26" t="s">
        <v>76</v>
      </c>
      <c r="E9" s="11" t="s">
        <v>69</v>
      </c>
      <c r="F9" s="11" t="s">
        <v>70</v>
      </c>
      <c r="G9" s="6">
        <v>15</v>
      </c>
      <c r="H9" s="6">
        <v>16</v>
      </c>
      <c r="I9" s="20">
        <v>7</v>
      </c>
      <c r="J9" s="20">
        <v>7</v>
      </c>
      <c r="K9" s="20">
        <v>1</v>
      </c>
      <c r="L9" s="6">
        <v>1</v>
      </c>
      <c r="M9" s="6">
        <f t="shared" si="0"/>
        <v>7</v>
      </c>
      <c r="N9" s="6">
        <f t="shared" si="1"/>
        <v>7</v>
      </c>
      <c r="O9" s="6">
        <f t="shared" si="2"/>
        <v>1</v>
      </c>
      <c r="P9" s="6">
        <f t="shared" si="3"/>
        <v>16</v>
      </c>
      <c r="S9" s="10"/>
      <c r="T9" s="10"/>
      <c r="U9" s="5"/>
    </row>
    <row r="10" spans="1:21" x14ac:dyDescent="0.25">
      <c r="A10" s="4">
        <v>8</v>
      </c>
      <c r="B10" s="20">
        <v>8</v>
      </c>
      <c r="C10" s="12" t="s">
        <v>64</v>
      </c>
      <c r="D10" s="26" t="s">
        <v>67</v>
      </c>
      <c r="E10" s="11" t="s">
        <v>75</v>
      </c>
      <c r="F10" s="11" t="s">
        <v>66</v>
      </c>
      <c r="G10" s="20">
        <v>2</v>
      </c>
      <c r="H10" s="20">
        <v>5</v>
      </c>
      <c r="I10" s="20">
        <v>1</v>
      </c>
      <c r="J10" s="20">
        <v>1</v>
      </c>
      <c r="K10" s="20">
        <v>0</v>
      </c>
      <c r="L10" s="6">
        <v>1</v>
      </c>
      <c r="M10" s="6">
        <f t="shared" si="0"/>
        <v>1</v>
      </c>
      <c r="N10" s="6">
        <f t="shared" si="1"/>
        <v>1</v>
      </c>
      <c r="O10" s="6">
        <f t="shared" si="2"/>
        <v>0</v>
      </c>
      <c r="P10" s="6">
        <f t="shared" si="3"/>
        <v>5</v>
      </c>
      <c r="S10" s="10"/>
      <c r="T10" s="10"/>
      <c r="U10" s="5"/>
    </row>
    <row r="11" spans="1:21" x14ac:dyDescent="0.25">
      <c r="A11" s="4">
        <v>9</v>
      </c>
      <c r="B11" s="20">
        <v>9</v>
      </c>
      <c r="C11" s="12" t="s">
        <v>78</v>
      </c>
      <c r="D11" s="26" t="s">
        <v>76</v>
      </c>
      <c r="E11" s="11" t="s">
        <v>79</v>
      </c>
      <c r="F11" s="11" t="s">
        <v>80</v>
      </c>
      <c r="G11" s="20">
        <v>3</v>
      </c>
      <c r="H11" s="20">
        <v>4</v>
      </c>
      <c r="I11" s="20">
        <v>2</v>
      </c>
      <c r="J11" s="20">
        <v>1</v>
      </c>
      <c r="K11" s="20">
        <v>0</v>
      </c>
      <c r="L11" s="6">
        <v>1</v>
      </c>
      <c r="M11" s="6">
        <f t="shared" si="0"/>
        <v>2</v>
      </c>
      <c r="N11" s="6">
        <f t="shared" si="1"/>
        <v>1</v>
      </c>
      <c r="O11" s="6">
        <f t="shared" si="2"/>
        <v>0</v>
      </c>
      <c r="P11" s="6">
        <f t="shared" si="3"/>
        <v>4</v>
      </c>
      <c r="S11" s="10"/>
      <c r="T11" s="10"/>
      <c r="U11" s="5"/>
    </row>
    <row r="12" spans="1:21" x14ac:dyDescent="0.25">
      <c r="A12" s="4">
        <v>10</v>
      </c>
      <c r="B12" s="20">
        <v>10</v>
      </c>
      <c r="C12" s="12" t="s">
        <v>64</v>
      </c>
      <c r="D12" s="26" t="s">
        <v>67</v>
      </c>
      <c r="E12" s="11" t="s">
        <v>81</v>
      </c>
      <c r="F12" s="11" t="s">
        <v>73</v>
      </c>
      <c r="G12" s="20">
        <v>7</v>
      </c>
      <c r="H12" s="20">
        <v>9</v>
      </c>
      <c r="I12" s="20">
        <v>3</v>
      </c>
      <c r="J12" s="20">
        <v>3</v>
      </c>
      <c r="K12" s="20">
        <v>1</v>
      </c>
      <c r="L12" s="6">
        <v>1</v>
      </c>
      <c r="M12" s="6">
        <f t="shared" si="0"/>
        <v>3</v>
      </c>
      <c r="N12" s="6">
        <f t="shared" si="1"/>
        <v>3</v>
      </c>
      <c r="O12" s="6">
        <f t="shared" si="2"/>
        <v>1</v>
      </c>
      <c r="P12" s="6">
        <f t="shared" si="3"/>
        <v>9</v>
      </c>
      <c r="S12" s="10"/>
      <c r="T12" s="10"/>
      <c r="U12" s="5"/>
    </row>
    <row r="13" spans="1:21" x14ac:dyDescent="0.25">
      <c r="A13" s="4"/>
      <c r="B13" s="4"/>
      <c r="S13" s="10"/>
      <c r="T13" s="10"/>
    </row>
    <row r="14" spans="1:21" ht="15.75" x14ac:dyDescent="0.25">
      <c r="A14" s="4"/>
      <c r="B14" s="4"/>
      <c r="M14" s="4">
        <f>SUM(M3:M12)</f>
        <v>20</v>
      </c>
      <c r="N14" s="4">
        <f>SUM(N3:N12)</f>
        <v>25</v>
      </c>
      <c r="O14" s="4">
        <f>SUM(O3:O12)</f>
        <v>12</v>
      </c>
      <c r="P14" s="4">
        <f>SUM(P3:P12)</f>
        <v>71</v>
      </c>
      <c r="Q14" s="8"/>
      <c r="S14" s="7"/>
      <c r="T14" s="7"/>
      <c r="U14" s="7"/>
    </row>
    <row r="15" spans="1:21" x14ac:dyDescent="0.25">
      <c r="C15" s="9" t="s">
        <v>90</v>
      </c>
      <c r="Q15" s="9"/>
    </row>
    <row r="16" spans="1:21" x14ac:dyDescent="0.25">
      <c r="C16" s="9" t="s">
        <v>91</v>
      </c>
      <c r="M16" s="4">
        <v>20</v>
      </c>
      <c r="N16" s="4">
        <v>25</v>
      </c>
      <c r="O16" s="4">
        <v>15</v>
      </c>
    </row>
    <row r="18" spans="19:20" x14ac:dyDescent="0.25">
      <c r="S18"/>
      <c r="T18"/>
    </row>
    <row r="19" spans="19:20" x14ac:dyDescent="0.25">
      <c r="S19"/>
      <c r="T19"/>
    </row>
    <row r="20" spans="19:20" x14ac:dyDescent="0.25">
      <c r="S20"/>
      <c r="T20"/>
    </row>
    <row r="21" spans="19:20" x14ac:dyDescent="0.25">
      <c r="S21"/>
      <c r="T21"/>
    </row>
    <row r="22" spans="19:20" x14ac:dyDescent="0.25">
      <c r="S22"/>
      <c r="T22"/>
    </row>
    <row r="23" spans="19:20" x14ac:dyDescent="0.25">
      <c r="S23"/>
      <c r="T23"/>
    </row>
    <row r="24" spans="19:20" x14ac:dyDescent="0.25">
      <c r="S24"/>
      <c r="T24"/>
    </row>
    <row r="25" spans="19:20" x14ac:dyDescent="0.25">
      <c r="S25"/>
      <c r="T25"/>
    </row>
    <row r="26" spans="19:20" x14ac:dyDescent="0.25">
      <c r="S26"/>
      <c r="T26"/>
    </row>
    <row r="27" spans="19:20" x14ac:dyDescent="0.25">
      <c r="S27"/>
      <c r="T27"/>
    </row>
    <row r="28" spans="19:20" x14ac:dyDescent="0.25">
      <c r="S28"/>
      <c r="T28"/>
    </row>
    <row r="29" spans="19:20" x14ac:dyDescent="0.25">
      <c r="S29"/>
      <c r="T29"/>
    </row>
    <row r="30" spans="19:20" x14ac:dyDescent="0.25">
      <c r="S30"/>
      <c r="T30"/>
    </row>
    <row r="31" spans="19:20" x14ac:dyDescent="0.25">
      <c r="S31"/>
      <c r="T31"/>
    </row>
    <row r="32" spans="19:20" x14ac:dyDescent="0.25">
      <c r="S32"/>
      <c r="T32"/>
    </row>
    <row r="33" spans="19:20" x14ac:dyDescent="0.25">
      <c r="S33"/>
      <c r="T33"/>
    </row>
    <row r="34" spans="19:20" x14ac:dyDescent="0.25">
      <c r="S34"/>
      <c r="T34"/>
    </row>
    <row r="35" spans="19:20" x14ac:dyDescent="0.25">
      <c r="S35"/>
      <c r="T35"/>
    </row>
    <row r="36" spans="19:20" x14ac:dyDescent="0.25">
      <c r="S36"/>
      <c r="T36"/>
    </row>
    <row r="37" spans="19:20" x14ac:dyDescent="0.25">
      <c r="S37"/>
      <c r="T37"/>
    </row>
    <row r="38" spans="19:20" x14ac:dyDescent="0.25">
      <c r="S38"/>
      <c r="T38"/>
    </row>
    <row r="39" spans="19:20" x14ac:dyDescent="0.25">
      <c r="S39"/>
      <c r="T39"/>
    </row>
    <row r="40" spans="19:20" x14ac:dyDescent="0.25">
      <c r="S40"/>
      <c r="T40"/>
    </row>
    <row r="41" spans="19:20" x14ac:dyDescent="0.25">
      <c r="S41"/>
      <c r="T41"/>
    </row>
    <row r="42" spans="19:20" x14ac:dyDescent="0.25">
      <c r="S42"/>
      <c r="T42"/>
    </row>
    <row r="43" spans="19:20" x14ac:dyDescent="0.25">
      <c r="S43"/>
      <c r="T43"/>
    </row>
    <row r="44" spans="19:20" x14ac:dyDescent="0.25">
      <c r="S44"/>
      <c r="T44"/>
    </row>
    <row r="45" spans="19:20" x14ac:dyDescent="0.25">
      <c r="S45"/>
      <c r="T45"/>
    </row>
    <row r="46" spans="19:20" x14ac:dyDescent="0.25">
      <c r="S46"/>
      <c r="T46"/>
    </row>
    <row r="47" spans="19:20" x14ac:dyDescent="0.25">
      <c r="S47"/>
      <c r="T47"/>
    </row>
    <row r="48" spans="19:20" x14ac:dyDescent="0.25">
      <c r="S48"/>
      <c r="T48"/>
    </row>
    <row r="49" spans="19:20" x14ac:dyDescent="0.25">
      <c r="S49"/>
      <c r="T49"/>
    </row>
    <row r="50" spans="19:20" x14ac:dyDescent="0.25">
      <c r="S50"/>
      <c r="T50"/>
    </row>
    <row r="51" spans="19:20" x14ac:dyDescent="0.25">
      <c r="S51"/>
      <c r="T51"/>
    </row>
    <row r="52" spans="19:20" x14ac:dyDescent="0.25">
      <c r="S52"/>
      <c r="T52"/>
    </row>
    <row r="53" spans="19:20" x14ac:dyDescent="0.25">
      <c r="S53"/>
      <c r="T53"/>
    </row>
    <row r="54" spans="19:20" x14ac:dyDescent="0.25">
      <c r="S54"/>
      <c r="T54"/>
    </row>
    <row r="55" spans="19:20" x14ac:dyDescent="0.25">
      <c r="S55"/>
      <c r="T55"/>
    </row>
    <row r="56" spans="19:20" x14ac:dyDescent="0.25">
      <c r="S56"/>
      <c r="T56"/>
    </row>
    <row r="57" spans="19:20" x14ac:dyDescent="0.25">
      <c r="S57"/>
      <c r="T57"/>
    </row>
    <row r="58" spans="19:20" x14ac:dyDescent="0.25">
      <c r="S58"/>
      <c r="T58"/>
    </row>
    <row r="59" spans="19:20" x14ac:dyDescent="0.25">
      <c r="S59"/>
      <c r="T59"/>
    </row>
    <row r="60" spans="19:20" x14ac:dyDescent="0.25">
      <c r="S60"/>
      <c r="T60"/>
    </row>
  </sheetData>
  <conditionalFormatting sqref="L3:L12">
    <cfRule type="cellIs" dxfId="22" priority="1" operator="equal">
      <formula>1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2FEC8-F8D0-41E7-9079-304A39BC017E}">
  <sheetPr codeName="Sheet8"/>
  <dimension ref="A1:U61"/>
  <sheetViews>
    <sheetView workbookViewId="0">
      <selection activeCell="C18" sqref="C18:C21"/>
    </sheetView>
  </sheetViews>
  <sheetFormatPr defaultRowHeight="15" x14ac:dyDescent="0.25"/>
  <cols>
    <col min="1" max="1" width="3" bestFit="1" customWidth="1"/>
    <col min="2" max="2" width="6.7109375" bestFit="1" customWidth="1"/>
    <col min="3" max="3" width="43.140625" style="9" bestFit="1" customWidth="1"/>
    <col min="4" max="4" width="13.5703125" style="9" bestFit="1" customWidth="1"/>
    <col min="5" max="5" width="9" style="4" bestFit="1" customWidth="1"/>
    <col min="6" max="6" width="7.140625" style="4" bestFit="1" customWidth="1"/>
    <col min="7" max="7" width="6.7109375" bestFit="1" customWidth="1"/>
    <col min="8" max="8" width="5" bestFit="1" customWidth="1"/>
    <col min="9" max="11" width="9.85546875" bestFit="1" customWidth="1"/>
    <col min="12" max="12" width="16.5703125" style="4" bestFit="1" customWidth="1"/>
    <col min="13" max="15" width="9.85546875" style="4" bestFit="1" customWidth="1"/>
    <col min="16" max="16" width="6" style="4" bestFit="1" customWidth="1"/>
    <col min="17" max="17" width="5.140625" customWidth="1"/>
    <col min="19" max="19" width="10" style="4" customWidth="1"/>
    <col min="20" max="20" width="8" style="4" customWidth="1"/>
    <col min="21" max="21" width="18.7109375" style="4" customWidth="1"/>
  </cols>
  <sheetData>
    <row r="1" spans="1:21" x14ac:dyDescent="0.25">
      <c r="A1" s="13"/>
    </row>
    <row r="2" spans="1:21" x14ac:dyDescent="0.25">
      <c r="A2" s="4"/>
      <c r="B2" s="6" t="s">
        <v>0</v>
      </c>
      <c r="C2" s="12" t="s">
        <v>82</v>
      </c>
      <c r="D2" s="25" t="s">
        <v>85</v>
      </c>
      <c r="E2" s="24" t="s">
        <v>83</v>
      </c>
      <c r="F2" s="24" t="s">
        <v>84</v>
      </c>
      <c r="G2" s="6" t="s">
        <v>2</v>
      </c>
      <c r="H2" s="6" t="s">
        <v>27</v>
      </c>
      <c r="I2" s="6" t="s">
        <v>36</v>
      </c>
      <c r="J2" s="6" t="s">
        <v>37</v>
      </c>
      <c r="K2" s="6" t="s">
        <v>38</v>
      </c>
      <c r="L2" s="6" t="s">
        <v>86</v>
      </c>
      <c r="M2" s="6" t="s">
        <v>36</v>
      </c>
      <c r="N2" s="6" t="s">
        <v>37</v>
      </c>
      <c r="O2" s="6" t="s">
        <v>38</v>
      </c>
      <c r="P2" s="6" t="s">
        <v>27</v>
      </c>
      <c r="S2" s="10"/>
      <c r="T2" s="10"/>
      <c r="U2" s="10"/>
    </row>
    <row r="3" spans="1:21" x14ac:dyDescent="0.25">
      <c r="A3" s="4">
        <v>1</v>
      </c>
      <c r="B3" s="6" t="s">
        <v>143</v>
      </c>
      <c r="C3" s="12" t="s">
        <v>64</v>
      </c>
      <c r="D3" s="26" t="s">
        <v>67</v>
      </c>
      <c r="E3" s="11" t="s">
        <v>65</v>
      </c>
      <c r="F3" s="11" t="s">
        <v>66</v>
      </c>
      <c r="G3" s="6">
        <v>5</v>
      </c>
      <c r="H3" s="6">
        <v>6</v>
      </c>
      <c r="I3" s="6">
        <v>4</v>
      </c>
      <c r="J3" s="6">
        <v>1</v>
      </c>
      <c r="K3" s="6">
        <v>0</v>
      </c>
      <c r="L3" s="6">
        <v>0</v>
      </c>
      <c r="M3" s="6">
        <f>$L3*I3</f>
        <v>0</v>
      </c>
      <c r="N3" s="6">
        <f t="shared" ref="N3:O13" si="0">$L3*J3</f>
        <v>0</v>
      </c>
      <c r="O3" s="6">
        <f t="shared" si="0"/>
        <v>0</v>
      </c>
      <c r="P3" s="6">
        <f>L3*H3</f>
        <v>0</v>
      </c>
      <c r="R3" s="47"/>
      <c r="S3" s="10"/>
      <c r="T3" s="10"/>
      <c r="U3" s="10"/>
    </row>
    <row r="4" spans="1:21" x14ac:dyDescent="0.25">
      <c r="A4" s="4">
        <v>2</v>
      </c>
      <c r="B4" s="6" t="s">
        <v>144</v>
      </c>
      <c r="C4" s="44" t="s">
        <v>68</v>
      </c>
      <c r="D4" s="26" t="s">
        <v>67</v>
      </c>
      <c r="E4" s="11" t="s">
        <v>69</v>
      </c>
      <c r="F4" s="11" t="s">
        <v>70</v>
      </c>
      <c r="G4" s="6">
        <v>10</v>
      </c>
      <c r="H4" s="6">
        <v>11</v>
      </c>
      <c r="I4" s="6">
        <v>1</v>
      </c>
      <c r="J4" s="6">
        <v>5</v>
      </c>
      <c r="K4" s="6">
        <v>4</v>
      </c>
      <c r="L4" s="43">
        <v>1</v>
      </c>
      <c r="M4" s="6">
        <f t="shared" ref="M4:M13" si="1">$L4*I4</f>
        <v>1</v>
      </c>
      <c r="N4" s="6">
        <f t="shared" si="0"/>
        <v>5</v>
      </c>
      <c r="O4" s="6">
        <f t="shared" si="0"/>
        <v>4</v>
      </c>
      <c r="P4" s="6">
        <f t="shared" ref="P4:P13" si="2">L4*H4</f>
        <v>11</v>
      </c>
      <c r="R4" s="47"/>
      <c r="S4" s="10"/>
      <c r="T4" s="10"/>
      <c r="U4" s="10"/>
    </row>
    <row r="5" spans="1:21" x14ac:dyDescent="0.25">
      <c r="A5" s="4">
        <v>3</v>
      </c>
      <c r="B5" s="6" t="s">
        <v>145</v>
      </c>
      <c r="C5" s="12" t="s">
        <v>71</v>
      </c>
      <c r="D5" s="26" t="s">
        <v>67</v>
      </c>
      <c r="E5" s="11" t="s">
        <v>72</v>
      </c>
      <c r="F5" s="11" t="s">
        <v>73</v>
      </c>
      <c r="G5" s="6">
        <v>10</v>
      </c>
      <c r="H5" s="6">
        <v>14</v>
      </c>
      <c r="I5" s="6">
        <v>2</v>
      </c>
      <c r="J5" s="6">
        <v>4</v>
      </c>
      <c r="K5" s="6">
        <v>4</v>
      </c>
      <c r="L5" s="6">
        <v>1</v>
      </c>
      <c r="M5" s="6">
        <f t="shared" si="1"/>
        <v>2</v>
      </c>
      <c r="N5" s="6">
        <f t="shared" si="0"/>
        <v>4</v>
      </c>
      <c r="O5" s="6">
        <f t="shared" si="0"/>
        <v>4</v>
      </c>
      <c r="P5" s="6">
        <f t="shared" si="2"/>
        <v>14</v>
      </c>
      <c r="R5" s="47"/>
      <c r="S5" s="10"/>
      <c r="T5" s="10"/>
      <c r="U5" s="10"/>
    </row>
    <row r="6" spans="1:21" x14ac:dyDescent="0.25">
      <c r="A6" s="4">
        <v>4</v>
      </c>
      <c r="B6" s="6" t="s">
        <v>146</v>
      </c>
      <c r="C6" s="28" t="s">
        <v>74</v>
      </c>
      <c r="D6" s="26" t="s">
        <v>76</v>
      </c>
      <c r="E6" s="11" t="s">
        <v>75</v>
      </c>
      <c r="F6" s="11" t="s">
        <v>66</v>
      </c>
      <c r="G6" s="6">
        <v>5</v>
      </c>
      <c r="H6" s="6">
        <v>7</v>
      </c>
      <c r="I6" s="6">
        <v>5</v>
      </c>
      <c r="J6" s="6">
        <v>0</v>
      </c>
      <c r="K6" s="6">
        <v>0</v>
      </c>
      <c r="L6" s="33">
        <v>1</v>
      </c>
      <c r="M6" s="6">
        <f t="shared" si="1"/>
        <v>5</v>
      </c>
      <c r="N6" s="6">
        <f t="shared" si="0"/>
        <v>0</v>
      </c>
      <c r="O6" s="6">
        <f t="shared" si="0"/>
        <v>0</v>
      </c>
      <c r="P6" s="6">
        <f t="shared" si="2"/>
        <v>7</v>
      </c>
      <c r="R6" s="47"/>
      <c r="S6" s="10"/>
      <c r="T6" s="10"/>
      <c r="U6" s="10"/>
    </row>
    <row r="7" spans="1:21" x14ac:dyDescent="0.25">
      <c r="A7" s="4">
        <v>5</v>
      </c>
      <c r="B7" s="6" t="s">
        <v>147</v>
      </c>
      <c r="C7" s="29" t="s">
        <v>64</v>
      </c>
      <c r="D7" s="26" t="s">
        <v>67</v>
      </c>
      <c r="E7" s="11" t="s">
        <v>72</v>
      </c>
      <c r="F7" s="11" t="s">
        <v>73</v>
      </c>
      <c r="G7" s="6">
        <v>10</v>
      </c>
      <c r="H7" s="6">
        <v>12</v>
      </c>
      <c r="I7" s="6">
        <v>4</v>
      </c>
      <c r="J7" s="6">
        <v>4</v>
      </c>
      <c r="K7" s="6">
        <v>2</v>
      </c>
      <c r="L7" s="34">
        <v>1</v>
      </c>
      <c r="M7" s="6">
        <f t="shared" si="1"/>
        <v>4</v>
      </c>
      <c r="N7" s="6">
        <f t="shared" si="0"/>
        <v>4</v>
      </c>
      <c r="O7" s="6">
        <f t="shared" si="0"/>
        <v>2</v>
      </c>
      <c r="P7" s="6">
        <f t="shared" si="2"/>
        <v>12</v>
      </c>
      <c r="R7" s="47"/>
      <c r="S7" s="10"/>
      <c r="T7" s="10"/>
      <c r="U7" s="10"/>
    </row>
    <row r="8" spans="1:21" x14ac:dyDescent="0.25">
      <c r="A8" s="4">
        <v>6</v>
      </c>
      <c r="B8" s="20" t="s">
        <v>148</v>
      </c>
      <c r="C8" s="12" t="s">
        <v>77</v>
      </c>
      <c r="D8" s="26" t="s">
        <v>76</v>
      </c>
      <c r="E8" s="11" t="s">
        <v>72</v>
      </c>
      <c r="F8" s="11" t="s">
        <v>73</v>
      </c>
      <c r="G8" s="20">
        <v>15</v>
      </c>
      <c r="H8" s="20">
        <v>20</v>
      </c>
      <c r="I8" s="20">
        <v>7</v>
      </c>
      <c r="J8" s="20">
        <v>8</v>
      </c>
      <c r="K8" s="20">
        <v>0</v>
      </c>
      <c r="L8" s="6">
        <v>1</v>
      </c>
      <c r="M8" s="6">
        <f t="shared" si="1"/>
        <v>7</v>
      </c>
      <c r="N8" s="6">
        <f t="shared" si="0"/>
        <v>8</v>
      </c>
      <c r="O8" s="6">
        <f t="shared" si="0"/>
        <v>0</v>
      </c>
      <c r="P8" s="6">
        <f t="shared" si="2"/>
        <v>20</v>
      </c>
      <c r="R8" s="47"/>
      <c r="S8" s="10"/>
      <c r="T8" s="10"/>
      <c r="U8" s="10"/>
    </row>
    <row r="9" spans="1:21" x14ac:dyDescent="0.25">
      <c r="A9" s="4">
        <v>7</v>
      </c>
      <c r="B9" s="20" t="s">
        <v>149</v>
      </c>
      <c r="C9" s="44" t="s">
        <v>78</v>
      </c>
      <c r="D9" s="26" t="s">
        <v>76</v>
      </c>
      <c r="E9" s="11" t="s">
        <v>69</v>
      </c>
      <c r="F9" s="11" t="s">
        <v>70</v>
      </c>
      <c r="G9" s="6">
        <v>15</v>
      </c>
      <c r="H9" s="6">
        <v>16</v>
      </c>
      <c r="I9" s="20">
        <v>7</v>
      </c>
      <c r="J9" s="20">
        <v>7</v>
      </c>
      <c r="K9" s="20">
        <v>1</v>
      </c>
      <c r="L9" s="43">
        <v>0</v>
      </c>
      <c r="M9" s="6">
        <f t="shared" si="1"/>
        <v>0</v>
      </c>
      <c r="N9" s="6">
        <f t="shared" si="0"/>
        <v>0</v>
      </c>
      <c r="O9" s="6">
        <f t="shared" si="0"/>
        <v>0</v>
      </c>
      <c r="P9" s="6">
        <f t="shared" si="2"/>
        <v>0</v>
      </c>
      <c r="R9" s="47"/>
      <c r="S9" s="10"/>
      <c r="T9" s="10"/>
      <c r="U9" s="10"/>
    </row>
    <row r="10" spans="1:21" x14ac:dyDescent="0.25">
      <c r="A10" s="4">
        <v>8</v>
      </c>
      <c r="B10" s="20" t="s">
        <v>150</v>
      </c>
      <c r="C10" s="28" t="s">
        <v>64</v>
      </c>
      <c r="D10" s="26" t="s">
        <v>67</v>
      </c>
      <c r="E10" s="11" t="s">
        <v>75</v>
      </c>
      <c r="F10" s="11" t="s">
        <v>66</v>
      </c>
      <c r="G10" s="20">
        <v>2</v>
      </c>
      <c r="H10" s="20">
        <v>5</v>
      </c>
      <c r="I10" s="20">
        <v>1</v>
      </c>
      <c r="J10" s="20">
        <v>1</v>
      </c>
      <c r="K10" s="20">
        <v>0</v>
      </c>
      <c r="L10" s="33">
        <v>1</v>
      </c>
      <c r="M10" s="6">
        <f t="shared" si="1"/>
        <v>1</v>
      </c>
      <c r="N10" s="6">
        <f t="shared" si="0"/>
        <v>1</v>
      </c>
      <c r="O10" s="6">
        <f t="shared" si="0"/>
        <v>0</v>
      </c>
      <c r="P10" s="6">
        <f t="shared" si="2"/>
        <v>5</v>
      </c>
      <c r="R10" s="47"/>
      <c r="S10" s="10"/>
      <c r="T10" s="10"/>
      <c r="U10" s="10"/>
    </row>
    <row r="11" spans="1:21" x14ac:dyDescent="0.25">
      <c r="A11" s="4">
        <v>9</v>
      </c>
      <c r="B11" s="20" t="s">
        <v>151</v>
      </c>
      <c r="C11" s="27" t="s">
        <v>95</v>
      </c>
      <c r="D11" s="26" t="s">
        <v>76</v>
      </c>
      <c r="E11" s="11" t="s">
        <v>79</v>
      </c>
      <c r="F11" s="11" t="s">
        <v>80</v>
      </c>
      <c r="G11" s="20">
        <v>3</v>
      </c>
      <c r="H11" s="20">
        <v>4</v>
      </c>
      <c r="I11" s="20">
        <v>2</v>
      </c>
      <c r="J11" s="20">
        <v>1</v>
      </c>
      <c r="K11" s="20">
        <v>0</v>
      </c>
      <c r="L11" s="35">
        <v>0</v>
      </c>
      <c r="M11" s="6">
        <f t="shared" si="1"/>
        <v>0</v>
      </c>
      <c r="N11" s="6">
        <f t="shared" si="0"/>
        <v>0</v>
      </c>
      <c r="O11" s="6">
        <f t="shared" si="0"/>
        <v>0</v>
      </c>
      <c r="P11" s="6">
        <f t="shared" si="2"/>
        <v>0</v>
      </c>
      <c r="R11" s="47"/>
      <c r="S11" s="10"/>
      <c r="T11" s="10"/>
      <c r="U11" s="10"/>
    </row>
    <row r="12" spans="1:21" x14ac:dyDescent="0.25">
      <c r="A12" s="4">
        <v>9</v>
      </c>
      <c r="B12" s="20" t="s">
        <v>152</v>
      </c>
      <c r="C12" s="27" t="s">
        <v>94</v>
      </c>
      <c r="D12" s="26" t="s">
        <v>76</v>
      </c>
      <c r="E12" s="11" t="s">
        <v>79</v>
      </c>
      <c r="F12" s="11" t="s">
        <v>80</v>
      </c>
      <c r="G12" s="20">
        <v>3</v>
      </c>
      <c r="H12" s="20">
        <v>3.75</v>
      </c>
      <c r="I12" s="20">
        <v>0</v>
      </c>
      <c r="J12" s="20">
        <v>2</v>
      </c>
      <c r="K12" s="20">
        <v>1</v>
      </c>
      <c r="L12" s="35">
        <v>1</v>
      </c>
      <c r="M12" s="6">
        <f>$L12*I12</f>
        <v>0</v>
      </c>
      <c r="N12" s="6">
        <f>$L12*J12</f>
        <v>2</v>
      </c>
      <c r="O12" s="6">
        <f>$L12*K12</f>
        <v>1</v>
      </c>
      <c r="P12" s="6">
        <f>L12*H12</f>
        <v>3.75</v>
      </c>
      <c r="R12" s="47"/>
      <c r="S12" s="10"/>
      <c r="T12" s="10"/>
      <c r="U12" s="10"/>
    </row>
    <row r="13" spans="1:21" x14ac:dyDescent="0.25">
      <c r="A13" s="4">
        <v>10</v>
      </c>
      <c r="B13" s="20" t="s">
        <v>153</v>
      </c>
      <c r="C13" s="29" t="s">
        <v>64</v>
      </c>
      <c r="D13" s="26" t="s">
        <v>67</v>
      </c>
      <c r="E13" s="11" t="s">
        <v>81</v>
      </c>
      <c r="F13" s="11" t="s">
        <v>73</v>
      </c>
      <c r="G13" s="20">
        <v>7</v>
      </c>
      <c r="H13" s="20">
        <v>9</v>
      </c>
      <c r="I13" s="20">
        <v>3</v>
      </c>
      <c r="J13" s="20">
        <v>3</v>
      </c>
      <c r="K13" s="20">
        <v>1</v>
      </c>
      <c r="L13" s="34">
        <v>0</v>
      </c>
      <c r="M13" s="6">
        <f t="shared" si="1"/>
        <v>0</v>
      </c>
      <c r="N13" s="6">
        <f t="shared" si="0"/>
        <v>0</v>
      </c>
      <c r="O13" s="6">
        <f t="shared" si="0"/>
        <v>0</v>
      </c>
      <c r="P13" s="6">
        <f t="shared" si="2"/>
        <v>0</v>
      </c>
      <c r="R13" s="47"/>
      <c r="S13" s="10"/>
      <c r="T13" s="10"/>
      <c r="U13" s="10"/>
    </row>
    <row r="14" spans="1:21" x14ac:dyDescent="0.25">
      <c r="A14" s="4"/>
      <c r="B14" s="4"/>
      <c r="G14" s="4"/>
      <c r="H14" s="4"/>
      <c r="I14" s="4"/>
      <c r="J14" s="4"/>
      <c r="K14" s="4"/>
    </row>
    <row r="15" spans="1:21" ht="15.75" x14ac:dyDescent="0.25">
      <c r="A15" s="4"/>
      <c r="B15" s="4"/>
      <c r="G15" s="4"/>
      <c r="H15" s="4"/>
      <c r="M15" s="4">
        <f>SUM(M3:M13)</f>
        <v>20</v>
      </c>
      <c r="N15" s="4">
        <f>SUM(N3:N13)</f>
        <v>24</v>
      </c>
      <c r="O15" s="4">
        <f>SUM(O3:O13)</f>
        <v>11</v>
      </c>
      <c r="P15" s="4">
        <f>SUM(P3:P13)</f>
        <v>72.75</v>
      </c>
      <c r="Q15" s="8"/>
      <c r="S15" s="7"/>
      <c r="T15" s="7"/>
      <c r="U15" s="7"/>
    </row>
    <row r="16" spans="1:21" x14ac:dyDescent="0.25">
      <c r="C16" s="9" t="s">
        <v>89</v>
      </c>
      <c r="Q16" s="9"/>
    </row>
    <row r="17" spans="3:20" x14ac:dyDescent="0.25">
      <c r="C17" s="9" t="s">
        <v>91</v>
      </c>
      <c r="M17" s="4">
        <v>20</v>
      </c>
      <c r="N17" s="4">
        <v>25</v>
      </c>
      <c r="O17" s="4">
        <v>15</v>
      </c>
    </row>
    <row r="18" spans="3:20" x14ac:dyDescent="0.25">
      <c r="C18" s="30" t="s">
        <v>93</v>
      </c>
    </row>
    <row r="19" spans="3:20" x14ac:dyDescent="0.25">
      <c r="C19" s="32" t="s">
        <v>92</v>
      </c>
      <c r="D19" s="9">
        <f>L7+L13</f>
        <v>1</v>
      </c>
      <c r="S19"/>
      <c r="T19"/>
    </row>
    <row r="20" spans="3:20" x14ac:dyDescent="0.25">
      <c r="C20" s="31" t="s">
        <v>96</v>
      </c>
      <c r="D20" s="9">
        <f>L11+L12</f>
        <v>1</v>
      </c>
      <c r="S20"/>
      <c r="T20"/>
    </row>
    <row r="21" spans="3:20" x14ac:dyDescent="0.25">
      <c r="C21" s="45" t="s">
        <v>103</v>
      </c>
      <c r="S21"/>
      <c r="T21"/>
    </row>
    <row r="22" spans="3:20" x14ac:dyDescent="0.25">
      <c r="S22"/>
      <c r="T22"/>
    </row>
    <row r="23" spans="3:20" x14ac:dyDescent="0.25">
      <c r="S23"/>
      <c r="T23"/>
    </row>
    <row r="24" spans="3:20" x14ac:dyDescent="0.25">
      <c r="S24"/>
      <c r="T24"/>
    </row>
    <row r="25" spans="3:20" x14ac:dyDescent="0.25">
      <c r="S25"/>
      <c r="T25"/>
    </row>
    <row r="26" spans="3:20" x14ac:dyDescent="0.25">
      <c r="S26"/>
      <c r="T26"/>
    </row>
    <row r="27" spans="3:20" x14ac:dyDescent="0.25">
      <c r="S27"/>
      <c r="T27"/>
    </row>
    <row r="28" spans="3:20" x14ac:dyDescent="0.25">
      <c r="S28"/>
      <c r="T28"/>
    </row>
    <row r="29" spans="3:20" x14ac:dyDescent="0.25">
      <c r="S29"/>
      <c r="T29"/>
    </row>
    <row r="30" spans="3:20" x14ac:dyDescent="0.25">
      <c r="S30"/>
      <c r="T30"/>
    </row>
    <row r="31" spans="3:20" x14ac:dyDescent="0.25">
      <c r="S31"/>
      <c r="T31"/>
    </row>
    <row r="32" spans="3:20" x14ac:dyDescent="0.25">
      <c r="S32"/>
      <c r="T32"/>
    </row>
    <row r="33" spans="19:20" x14ac:dyDescent="0.25">
      <c r="S33"/>
      <c r="T33"/>
    </row>
    <row r="34" spans="19:20" x14ac:dyDescent="0.25">
      <c r="S34"/>
      <c r="T34"/>
    </row>
    <row r="35" spans="19:20" x14ac:dyDescent="0.25">
      <c r="S35"/>
      <c r="T35"/>
    </row>
    <row r="36" spans="19:20" x14ac:dyDescent="0.25">
      <c r="S36"/>
      <c r="T36"/>
    </row>
    <row r="37" spans="19:20" x14ac:dyDescent="0.25">
      <c r="S37"/>
      <c r="T37"/>
    </row>
    <row r="38" spans="19:20" x14ac:dyDescent="0.25">
      <c r="S38"/>
      <c r="T38"/>
    </row>
    <row r="39" spans="19:20" x14ac:dyDescent="0.25">
      <c r="S39"/>
      <c r="T39"/>
    </row>
    <row r="40" spans="19:20" x14ac:dyDescent="0.25">
      <c r="S40"/>
      <c r="T40"/>
    </row>
    <row r="41" spans="19:20" x14ac:dyDescent="0.25">
      <c r="S41"/>
      <c r="T41"/>
    </row>
    <row r="42" spans="19:20" x14ac:dyDescent="0.25">
      <c r="S42"/>
      <c r="T42"/>
    </row>
    <row r="43" spans="19:20" x14ac:dyDescent="0.25">
      <c r="S43"/>
      <c r="T43"/>
    </row>
    <row r="44" spans="19:20" x14ac:dyDescent="0.25">
      <c r="S44"/>
      <c r="T44"/>
    </row>
    <row r="45" spans="19:20" x14ac:dyDescent="0.25">
      <c r="S45"/>
      <c r="T45"/>
    </row>
    <row r="46" spans="19:20" x14ac:dyDescent="0.25">
      <c r="S46"/>
      <c r="T46"/>
    </row>
    <row r="47" spans="19:20" x14ac:dyDescent="0.25">
      <c r="S47"/>
      <c r="T47"/>
    </row>
    <row r="48" spans="19:20" x14ac:dyDescent="0.25">
      <c r="S48"/>
      <c r="T48"/>
    </row>
    <row r="49" spans="19:20" x14ac:dyDescent="0.25">
      <c r="S49"/>
      <c r="T49"/>
    </row>
    <row r="50" spans="19:20" x14ac:dyDescent="0.25">
      <c r="S50"/>
      <c r="T50"/>
    </row>
    <row r="51" spans="19:20" x14ac:dyDescent="0.25">
      <c r="S51"/>
      <c r="T51"/>
    </row>
    <row r="52" spans="19:20" x14ac:dyDescent="0.25">
      <c r="S52"/>
      <c r="T52"/>
    </row>
    <row r="53" spans="19:20" x14ac:dyDescent="0.25">
      <c r="S53"/>
      <c r="T53"/>
    </row>
    <row r="54" spans="19:20" x14ac:dyDescent="0.25">
      <c r="S54"/>
      <c r="T54"/>
    </row>
    <row r="55" spans="19:20" x14ac:dyDescent="0.25">
      <c r="S55"/>
      <c r="T55"/>
    </row>
    <row r="56" spans="19:20" x14ac:dyDescent="0.25">
      <c r="S56"/>
      <c r="T56"/>
    </row>
    <row r="57" spans="19:20" x14ac:dyDescent="0.25">
      <c r="S57"/>
      <c r="T57"/>
    </row>
    <row r="58" spans="19:20" x14ac:dyDescent="0.25">
      <c r="S58"/>
      <c r="T58"/>
    </row>
    <row r="59" spans="19:20" x14ac:dyDescent="0.25">
      <c r="S59"/>
      <c r="T59"/>
    </row>
    <row r="60" spans="19:20" x14ac:dyDescent="0.25">
      <c r="S60"/>
      <c r="T60"/>
    </row>
    <row r="61" spans="19:20" x14ac:dyDescent="0.25">
      <c r="S61"/>
      <c r="T6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89562-7534-457A-91BF-705DCB3DBDD2}">
  <sheetPr codeName="Sheet1"/>
  <dimension ref="A2:O129"/>
  <sheetViews>
    <sheetView workbookViewId="0">
      <selection activeCell="O2" sqref="O2"/>
    </sheetView>
  </sheetViews>
  <sheetFormatPr defaultRowHeight="15" outlineLevelCol="1" x14ac:dyDescent="0.25"/>
  <cols>
    <col min="1" max="1" width="3.28515625" customWidth="1"/>
    <col min="2" max="2" width="3" bestFit="1" customWidth="1"/>
    <col min="3" max="3" width="10.5703125" style="4" customWidth="1"/>
    <col min="4" max="4" width="13.28515625" style="4" customWidth="1"/>
    <col min="5" max="8" width="7.85546875" style="4" customWidth="1" outlineLevel="1"/>
    <col min="9" max="9" width="10.42578125" style="4" customWidth="1" outlineLevel="1"/>
    <col min="10" max="10" width="23.5703125" style="9" customWidth="1"/>
    <col min="11" max="11" width="14.42578125" customWidth="1"/>
    <col min="12" max="12" width="4.85546875" customWidth="1"/>
    <col min="13" max="13" width="22" style="4" hidden="1" customWidth="1" outlineLevel="1"/>
    <col min="14" max="14" width="18.42578125" style="4" customWidth="1" outlineLevel="1" collapsed="1"/>
    <col min="15" max="15" width="24.5703125" style="4" customWidth="1" outlineLevel="1" collapsed="1"/>
  </cols>
  <sheetData>
    <row r="2" spans="1:15" x14ac:dyDescent="0.25">
      <c r="B2" t="s">
        <v>0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  <c r="H2" s="4" t="s">
        <v>128</v>
      </c>
      <c r="I2" s="4" t="s">
        <v>8</v>
      </c>
      <c r="J2" s="9" t="s">
        <v>97</v>
      </c>
      <c r="M2" s="10" t="s">
        <v>102</v>
      </c>
      <c r="N2" s="10" t="s">
        <v>335</v>
      </c>
      <c r="O2" s="10" t="s">
        <v>9</v>
      </c>
    </row>
    <row r="3" spans="1:15" x14ac:dyDescent="0.25">
      <c r="A3">
        <v>1</v>
      </c>
      <c r="B3" s="2">
        <v>1</v>
      </c>
      <c r="C3" s="6">
        <v>5</v>
      </c>
      <c r="D3" s="6">
        <v>2</v>
      </c>
      <c r="E3" s="6">
        <v>1</v>
      </c>
      <c r="F3" s="6">
        <v>0</v>
      </c>
      <c r="G3" s="6">
        <v>0</v>
      </c>
      <c r="H3" s="6">
        <v>0</v>
      </c>
      <c r="I3" s="6">
        <f t="shared" ref="I3:I12" si="0">SUM(E3:H3)</f>
        <v>1</v>
      </c>
      <c r="J3" s="12" t="str">
        <f>IF(E3=1,"1",IF(F3=1,"2",IF(G3=1,"3","4+")))</f>
        <v>1</v>
      </c>
      <c r="M3" s="5">
        <f>IF(E3=1,$D3*(1/(1+$K$14)+1/(1+$K$14)^2+1/(1+$K$14)^3),IF(F3=1,$D3*(1/(1+$K$14)^2+1/(1+$K$14)^3),IF(G3=1,$D3*(1/(1+$K$14)^3),0)))</f>
        <v>5.4464960587409568</v>
      </c>
      <c r="N3" s="5">
        <f>IF(E3&gt;0,$D3*(1/(1+$K$14)+1/(1+$K$14)^2+1/(1+$K$14)^3),IF(F3&gt;0,$D3*(1/(1+$K$14)^2+1/(1+$K$14)^3),IF(G3&gt;0,$D3*(1/(1+$K$14)^3),0)))</f>
        <v>5.4464960587409568</v>
      </c>
      <c r="O3" s="5">
        <f>D3*(E3*(1/(1+$K$14)^1+1/(1+$K$14)^2+1/(1+$K$14)^3)+F3*(1/(1+$K$14)^2+1/(1+$K$14)^3)+G3*(1/(1+$K$14)^3))</f>
        <v>5.4464960587409568</v>
      </c>
    </row>
    <row r="4" spans="1:15" x14ac:dyDescent="0.25">
      <c r="A4">
        <v>2</v>
      </c>
      <c r="B4" s="2">
        <v>2</v>
      </c>
      <c r="C4" s="6">
        <v>15</v>
      </c>
      <c r="D4" s="6">
        <v>3</v>
      </c>
      <c r="E4" s="6">
        <v>0</v>
      </c>
      <c r="F4" s="6">
        <v>0</v>
      </c>
      <c r="G4" s="6">
        <v>1</v>
      </c>
      <c r="H4" s="6">
        <v>0</v>
      </c>
      <c r="I4" s="6">
        <f t="shared" si="0"/>
        <v>1</v>
      </c>
      <c r="J4" s="12" t="str">
        <f t="shared" ref="J4:J12" si="1">IF(E4=1,"1",IF(F4=1,"2",IF(G4=1,"3","4+")))</f>
        <v>3</v>
      </c>
      <c r="M4" s="5">
        <f t="shared" ref="M4:M12" si="2">IF(E4=1,$D4*(1/(1+$K$14)+1/(1+$K$14)^2+1/(1+$K$14)^3),IF(F4=1,$D4*(1/(1+$K$14)^2+1/(1+$K$14)^3),IF(G4=1,$D4*(1/(1+$K$14)^3),0)))</f>
        <v>2.5915127955944279</v>
      </c>
      <c r="N4" s="5">
        <f t="shared" ref="N4:N12" si="3">IF(E4&gt;0,$D4*(1/(1+$K$14)+1/(1+$K$14)^2+1/(1+$K$14)^3),IF(F4&gt;0,$D4*(1/(1+$K$14)^2+1/(1+$K$14)^3),IF(G4&gt;0,$D4*(1/(1+$K$14)^3),0)))</f>
        <v>2.5915127955944279</v>
      </c>
      <c r="O4" s="5">
        <f t="shared" ref="O4:O12" si="4">D4*(E4*(1/(1+$K$14)^1+1/(1+$K$14)^2+1/(1+$K$14)^3)+F4*(1/(1+$K$14)^2+1/(1+$K$14)^3)+G4*(1/(1+$K$14)^3))</f>
        <v>2.5915127955944279</v>
      </c>
    </row>
    <row r="5" spans="1:15" x14ac:dyDescent="0.25">
      <c r="A5">
        <v>3</v>
      </c>
      <c r="B5" s="2">
        <v>3</v>
      </c>
      <c r="C5" s="6">
        <v>10</v>
      </c>
      <c r="D5" s="6">
        <v>5</v>
      </c>
      <c r="E5" s="6">
        <v>0</v>
      </c>
      <c r="F5" s="6">
        <v>1</v>
      </c>
      <c r="G5" s="6">
        <v>0</v>
      </c>
      <c r="H5" s="6">
        <v>0</v>
      </c>
      <c r="I5" s="6">
        <f t="shared" si="0"/>
        <v>1</v>
      </c>
      <c r="J5" s="12" t="str">
        <f t="shared" si="1"/>
        <v>2</v>
      </c>
      <c r="M5" s="5">
        <f t="shared" si="2"/>
        <v>8.8543353849476283</v>
      </c>
      <c r="N5" s="5">
        <f t="shared" si="3"/>
        <v>8.8543353849476283</v>
      </c>
      <c r="O5" s="5">
        <f t="shared" si="4"/>
        <v>8.8543353849476283</v>
      </c>
    </row>
    <row r="6" spans="1:15" x14ac:dyDescent="0.25">
      <c r="A6">
        <v>4</v>
      </c>
      <c r="B6" s="2">
        <v>4</v>
      </c>
      <c r="C6" s="6">
        <v>5</v>
      </c>
      <c r="D6" s="6">
        <v>2</v>
      </c>
      <c r="E6" s="6">
        <v>0</v>
      </c>
      <c r="F6" s="6">
        <v>1</v>
      </c>
      <c r="G6" s="6">
        <v>0</v>
      </c>
      <c r="H6" s="6">
        <v>0</v>
      </c>
      <c r="I6" s="6">
        <f t="shared" si="0"/>
        <v>1</v>
      </c>
      <c r="J6" s="12" t="str">
        <f t="shared" si="1"/>
        <v>2</v>
      </c>
      <c r="M6" s="5">
        <f t="shared" si="2"/>
        <v>3.5417341539790517</v>
      </c>
      <c r="N6" s="5">
        <f t="shared" si="3"/>
        <v>3.5417341539790517</v>
      </c>
      <c r="O6" s="5">
        <f t="shared" si="4"/>
        <v>3.5417341539790517</v>
      </c>
    </row>
    <row r="7" spans="1:15" x14ac:dyDescent="0.25">
      <c r="A7">
        <v>5</v>
      </c>
      <c r="B7" s="2">
        <v>5</v>
      </c>
      <c r="C7" s="6">
        <v>10</v>
      </c>
      <c r="D7" s="6">
        <v>4</v>
      </c>
      <c r="E7" s="6">
        <v>0</v>
      </c>
      <c r="F7" s="6">
        <v>1</v>
      </c>
      <c r="G7" s="6">
        <v>0</v>
      </c>
      <c r="H7" s="6">
        <v>0</v>
      </c>
      <c r="I7" s="6">
        <f t="shared" si="0"/>
        <v>1</v>
      </c>
      <c r="J7" s="12" t="str">
        <f t="shared" si="1"/>
        <v>2</v>
      </c>
      <c r="M7" s="5">
        <f t="shared" si="2"/>
        <v>7.0834683079581033</v>
      </c>
      <c r="N7" s="5">
        <f t="shared" si="3"/>
        <v>7.0834683079581033</v>
      </c>
      <c r="O7" s="5">
        <f t="shared" si="4"/>
        <v>7.0834683079581033</v>
      </c>
    </row>
    <row r="8" spans="1:15" x14ac:dyDescent="0.25">
      <c r="A8">
        <v>6</v>
      </c>
      <c r="B8" s="3">
        <v>6</v>
      </c>
      <c r="C8" s="20">
        <v>15</v>
      </c>
      <c r="D8" s="20">
        <v>8</v>
      </c>
      <c r="E8" s="6">
        <v>1</v>
      </c>
      <c r="F8" s="6">
        <v>0</v>
      </c>
      <c r="G8" s="6">
        <v>0</v>
      </c>
      <c r="H8" s="6">
        <v>0</v>
      </c>
      <c r="I8" s="6">
        <f t="shared" si="0"/>
        <v>1</v>
      </c>
      <c r="J8" s="12" t="str">
        <f t="shared" si="1"/>
        <v>1</v>
      </c>
      <c r="M8" s="5">
        <f t="shared" si="2"/>
        <v>21.785984234963827</v>
      </c>
      <c r="N8" s="5">
        <f t="shared" si="3"/>
        <v>21.785984234963827</v>
      </c>
      <c r="O8" s="5">
        <f t="shared" si="4"/>
        <v>21.785984234963827</v>
      </c>
    </row>
    <row r="9" spans="1:15" x14ac:dyDescent="0.25">
      <c r="A9">
        <v>7</v>
      </c>
      <c r="B9" s="3">
        <v>7</v>
      </c>
      <c r="C9" s="20">
        <v>10</v>
      </c>
      <c r="D9" s="20">
        <v>2</v>
      </c>
      <c r="E9" s="6">
        <v>0</v>
      </c>
      <c r="F9" s="6">
        <v>0</v>
      </c>
      <c r="G9" s="6">
        <v>1</v>
      </c>
      <c r="H9" s="6">
        <v>0</v>
      </c>
      <c r="I9" s="6">
        <f t="shared" si="0"/>
        <v>1</v>
      </c>
      <c r="J9" s="12" t="str">
        <f t="shared" si="1"/>
        <v>3</v>
      </c>
      <c r="M9" s="5">
        <f t="shared" si="2"/>
        <v>1.727675197062952</v>
      </c>
      <c r="N9" s="5">
        <f t="shared" si="3"/>
        <v>1.727675197062952</v>
      </c>
      <c r="O9" s="5">
        <f t="shared" si="4"/>
        <v>1.727675197062952</v>
      </c>
    </row>
    <row r="10" spans="1:15" x14ac:dyDescent="0.25">
      <c r="A10">
        <v>8</v>
      </c>
      <c r="B10" s="3">
        <v>8</v>
      </c>
      <c r="C10" s="20">
        <v>2</v>
      </c>
      <c r="D10" s="20">
        <v>1</v>
      </c>
      <c r="E10" s="6">
        <v>0</v>
      </c>
      <c r="F10" s="6">
        <v>1</v>
      </c>
      <c r="G10" s="6">
        <v>0</v>
      </c>
      <c r="H10" s="6">
        <v>0</v>
      </c>
      <c r="I10" s="6">
        <f t="shared" si="0"/>
        <v>1</v>
      </c>
      <c r="J10" s="12" t="str">
        <f t="shared" si="1"/>
        <v>2</v>
      </c>
      <c r="M10" s="5">
        <f t="shared" si="2"/>
        <v>1.7708670769895258</v>
      </c>
      <c r="N10" s="5">
        <f t="shared" si="3"/>
        <v>1.7708670769895258</v>
      </c>
      <c r="O10" s="5">
        <f t="shared" si="4"/>
        <v>1.7708670769895258</v>
      </c>
    </row>
    <row r="11" spans="1:15" x14ac:dyDescent="0.25">
      <c r="A11">
        <v>9</v>
      </c>
      <c r="B11" s="3">
        <v>9</v>
      </c>
      <c r="C11" s="20">
        <v>3</v>
      </c>
      <c r="D11" s="20">
        <v>1</v>
      </c>
      <c r="E11" s="6">
        <v>0</v>
      </c>
      <c r="F11" s="6">
        <v>1</v>
      </c>
      <c r="G11" s="6">
        <v>0</v>
      </c>
      <c r="H11" s="6">
        <v>0</v>
      </c>
      <c r="I11" s="6">
        <f t="shared" si="0"/>
        <v>1</v>
      </c>
      <c r="J11" s="12" t="str">
        <f t="shared" si="1"/>
        <v>2</v>
      </c>
      <c r="M11" s="5">
        <f t="shared" si="2"/>
        <v>1.7708670769895258</v>
      </c>
      <c r="N11" s="5">
        <f t="shared" si="3"/>
        <v>1.7708670769895258</v>
      </c>
      <c r="O11" s="5">
        <f t="shared" si="4"/>
        <v>1.7708670769895258</v>
      </c>
    </row>
    <row r="12" spans="1:15" x14ac:dyDescent="0.25">
      <c r="A12">
        <v>10</v>
      </c>
      <c r="B12" s="3">
        <v>10</v>
      </c>
      <c r="C12" s="20">
        <v>7</v>
      </c>
      <c r="D12" s="20">
        <v>2</v>
      </c>
      <c r="E12" s="6">
        <v>0</v>
      </c>
      <c r="F12" s="6">
        <v>0</v>
      </c>
      <c r="G12" s="6">
        <v>0</v>
      </c>
      <c r="H12" s="6">
        <v>1</v>
      </c>
      <c r="I12" s="6">
        <f t="shared" si="0"/>
        <v>1</v>
      </c>
      <c r="J12" s="12" t="str">
        <f t="shared" si="1"/>
        <v>4+</v>
      </c>
      <c r="M12" s="5">
        <f t="shared" si="2"/>
        <v>0</v>
      </c>
      <c r="N12" s="5">
        <f t="shared" si="3"/>
        <v>0</v>
      </c>
      <c r="O12" s="5">
        <f t="shared" si="4"/>
        <v>0</v>
      </c>
    </row>
    <row r="13" spans="1:15" x14ac:dyDescent="0.25">
      <c r="E13" s="48"/>
      <c r="F13" s="48"/>
      <c r="G13" s="48"/>
    </row>
    <row r="14" spans="1:15" ht="15.75" x14ac:dyDescent="0.25">
      <c r="E14" s="4">
        <f>SUMPRODUCT($C$3:$C$12,E3:E12)</f>
        <v>20</v>
      </c>
      <c r="F14" s="4">
        <f>SUMPRODUCT($C$3:$C$12,F3:F12)</f>
        <v>30</v>
      </c>
      <c r="G14" s="4">
        <f>SUMPRODUCT($C$3:$C$12,G3:G12)</f>
        <v>25</v>
      </c>
      <c r="K14" s="8">
        <v>0.05</v>
      </c>
      <c r="M14" s="7">
        <f>SUM(M3:M12)</f>
        <v>54.57294028722599</v>
      </c>
      <c r="N14" s="7">
        <f>SUM(N3:N12)</f>
        <v>54.57294028722599</v>
      </c>
      <c r="O14" s="7">
        <f>SUM(O3:O12)</f>
        <v>54.57294028722599</v>
      </c>
    </row>
    <row r="15" spans="1:15" x14ac:dyDescent="0.25">
      <c r="E15" s="4">
        <v>20</v>
      </c>
      <c r="F15" s="4">
        <v>30</v>
      </c>
      <c r="G15" s="4">
        <v>25</v>
      </c>
      <c r="K15" s="9" t="s">
        <v>10</v>
      </c>
    </row>
    <row r="17" spans="1:3" x14ac:dyDescent="0.25">
      <c r="C17" s="49" t="s">
        <v>90</v>
      </c>
    </row>
    <row r="18" spans="1:3" x14ac:dyDescent="0.25">
      <c r="C18" s="9" t="s">
        <v>137</v>
      </c>
    </row>
    <row r="19" spans="1:3" x14ac:dyDescent="0.25">
      <c r="C19" s="9" t="s">
        <v>138</v>
      </c>
    </row>
    <row r="20" spans="1:3" x14ac:dyDescent="0.25">
      <c r="C20" s="9" t="s">
        <v>139</v>
      </c>
    </row>
    <row r="30" spans="1:3" x14ac:dyDescent="0.25">
      <c r="A30" s="13"/>
    </row>
    <row r="40" spans="6:10" x14ac:dyDescent="0.25">
      <c r="F40" s="4" t="s">
        <v>4</v>
      </c>
      <c r="G40" s="4" t="s">
        <v>5</v>
      </c>
      <c r="H40" s="4" t="s">
        <v>6</v>
      </c>
      <c r="I40" s="4" t="s">
        <v>128</v>
      </c>
      <c r="J40" s="9" t="s">
        <v>132</v>
      </c>
    </row>
    <row r="41" spans="6:10" x14ac:dyDescent="0.25">
      <c r="F41" s="6">
        <v>0</v>
      </c>
      <c r="G41" s="6">
        <v>1</v>
      </c>
      <c r="H41" s="6">
        <v>0</v>
      </c>
      <c r="I41" s="6">
        <v>0</v>
      </c>
      <c r="J41" s="9" t="s">
        <v>133</v>
      </c>
    </row>
    <row r="42" spans="6:10" x14ac:dyDescent="0.25">
      <c r="F42" s="6">
        <v>0</v>
      </c>
      <c r="G42" s="6">
        <v>0</v>
      </c>
      <c r="H42" s="6">
        <v>1</v>
      </c>
      <c r="I42" s="6">
        <v>0</v>
      </c>
    </row>
    <row r="43" spans="6:10" x14ac:dyDescent="0.25">
      <c r="F43" s="6">
        <v>0</v>
      </c>
      <c r="G43" s="6">
        <v>1</v>
      </c>
      <c r="H43" s="6">
        <v>0</v>
      </c>
      <c r="I43" s="6">
        <v>0</v>
      </c>
    </row>
    <row r="44" spans="6:10" x14ac:dyDescent="0.25">
      <c r="F44" s="6">
        <v>1</v>
      </c>
      <c r="G44" s="6">
        <v>0</v>
      </c>
      <c r="H44" s="6">
        <v>0</v>
      </c>
      <c r="I44" s="6">
        <v>0</v>
      </c>
    </row>
    <row r="45" spans="6:10" x14ac:dyDescent="0.25">
      <c r="F45" s="6">
        <v>0</v>
      </c>
      <c r="G45" s="6">
        <v>1</v>
      </c>
      <c r="H45" s="6">
        <v>0</v>
      </c>
      <c r="I45" s="6">
        <v>0</v>
      </c>
    </row>
    <row r="46" spans="6:10" x14ac:dyDescent="0.25">
      <c r="F46" s="6">
        <v>1</v>
      </c>
      <c r="G46" s="6">
        <v>0</v>
      </c>
      <c r="H46" s="6">
        <v>0</v>
      </c>
      <c r="I46" s="6">
        <v>0</v>
      </c>
    </row>
    <row r="47" spans="6:10" x14ac:dyDescent="0.25">
      <c r="F47" s="6">
        <v>0</v>
      </c>
      <c r="G47" s="6">
        <v>0</v>
      </c>
      <c r="H47" s="6">
        <v>1</v>
      </c>
      <c r="I47" s="6">
        <v>0</v>
      </c>
    </row>
    <row r="48" spans="6:10" x14ac:dyDescent="0.25">
      <c r="F48" s="6">
        <v>0</v>
      </c>
      <c r="G48" s="6">
        <v>1</v>
      </c>
      <c r="H48" s="6">
        <v>0</v>
      </c>
      <c r="I48" s="6">
        <v>0</v>
      </c>
    </row>
    <row r="49" spans="6:10" x14ac:dyDescent="0.25">
      <c r="F49" s="6">
        <v>0</v>
      </c>
      <c r="G49" s="6">
        <v>1</v>
      </c>
      <c r="H49" s="6">
        <v>0</v>
      </c>
      <c r="I49" s="6">
        <v>0</v>
      </c>
    </row>
    <row r="50" spans="6:10" x14ac:dyDescent="0.25">
      <c r="F50" s="6">
        <v>0</v>
      </c>
      <c r="G50" s="6">
        <v>0</v>
      </c>
      <c r="H50" s="6">
        <v>0</v>
      </c>
      <c r="I50" s="6">
        <v>1</v>
      </c>
    </row>
    <row r="52" spans="6:10" x14ac:dyDescent="0.25">
      <c r="F52" s="4">
        <v>20</v>
      </c>
      <c r="G52" s="4">
        <v>30</v>
      </c>
      <c r="H52" s="4">
        <v>25</v>
      </c>
      <c r="J52" s="9">
        <v>54.6</v>
      </c>
    </row>
    <row r="53" spans="6:10" x14ac:dyDescent="0.25">
      <c r="F53" s="4">
        <v>20</v>
      </c>
      <c r="G53" s="4">
        <v>30</v>
      </c>
      <c r="H53" s="4">
        <v>25</v>
      </c>
    </row>
    <row r="55" spans="6:10" x14ac:dyDescent="0.25">
      <c r="F55" s="4" t="s">
        <v>4</v>
      </c>
      <c r="G55" s="4" t="s">
        <v>5</v>
      </c>
      <c r="H55" s="4" t="s">
        <v>6</v>
      </c>
      <c r="I55" s="4" t="s">
        <v>128</v>
      </c>
      <c r="J55" s="9" t="s">
        <v>136</v>
      </c>
    </row>
    <row r="56" spans="6:10" x14ac:dyDescent="0.25">
      <c r="F56" s="6">
        <v>0</v>
      </c>
      <c r="G56" s="6">
        <v>0</v>
      </c>
      <c r="H56" s="6">
        <v>0</v>
      </c>
      <c r="I56" s="6">
        <v>1</v>
      </c>
      <c r="J56" s="9" t="s">
        <v>129</v>
      </c>
    </row>
    <row r="57" spans="6:10" x14ac:dyDescent="0.25">
      <c r="F57" s="6">
        <v>0</v>
      </c>
      <c r="G57" s="6">
        <v>0</v>
      </c>
      <c r="H57" s="6">
        <v>0</v>
      </c>
      <c r="I57" s="6">
        <v>1</v>
      </c>
    </row>
    <row r="58" spans="6:10" x14ac:dyDescent="0.25">
      <c r="F58" s="6">
        <v>0</v>
      </c>
      <c r="G58" s="6">
        <v>0</v>
      </c>
      <c r="H58" s="6">
        <v>0</v>
      </c>
      <c r="I58" s="6">
        <v>1</v>
      </c>
    </row>
    <row r="59" spans="6:10" x14ac:dyDescent="0.25">
      <c r="F59" s="6">
        <v>0</v>
      </c>
      <c r="G59" s="6">
        <v>0</v>
      </c>
      <c r="H59" s="6">
        <v>0</v>
      </c>
      <c r="I59" s="6">
        <v>1</v>
      </c>
    </row>
    <row r="60" spans="6:10" x14ac:dyDescent="0.25">
      <c r="F60" s="6">
        <v>0</v>
      </c>
      <c r="G60" s="6">
        <v>0</v>
      </c>
      <c r="H60" s="6">
        <v>0</v>
      </c>
      <c r="I60" s="6">
        <v>1</v>
      </c>
    </row>
    <row r="61" spans="6:10" x14ac:dyDescent="0.25">
      <c r="F61" s="6">
        <v>0</v>
      </c>
      <c r="G61" s="6">
        <v>0</v>
      </c>
      <c r="H61" s="6">
        <v>0</v>
      </c>
      <c r="I61" s="6">
        <v>1</v>
      </c>
    </row>
    <row r="62" spans="6:10" x14ac:dyDescent="0.25">
      <c r="F62" s="6">
        <v>0</v>
      </c>
      <c r="G62" s="6">
        <v>0</v>
      </c>
      <c r="H62" s="6">
        <v>0</v>
      </c>
      <c r="I62" s="6">
        <v>1</v>
      </c>
    </row>
    <row r="63" spans="6:10" x14ac:dyDescent="0.25">
      <c r="F63" s="6">
        <v>0</v>
      </c>
      <c r="G63" s="6">
        <v>0</v>
      </c>
      <c r="H63" s="6">
        <v>0</v>
      </c>
      <c r="I63" s="6">
        <v>1</v>
      </c>
    </row>
    <row r="64" spans="6:10" x14ac:dyDescent="0.25">
      <c r="F64" s="6">
        <v>0</v>
      </c>
      <c r="G64" s="6">
        <v>0</v>
      </c>
      <c r="H64" s="6">
        <v>0</v>
      </c>
      <c r="I64" s="6">
        <v>1</v>
      </c>
    </row>
    <row r="65" spans="6:10" x14ac:dyDescent="0.25">
      <c r="F65" s="6">
        <v>1</v>
      </c>
      <c r="G65" s="6">
        <v>0</v>
      </c>
      <c r="H65" s="6">
        <v>0</v>
      </c>
      <c r="I65" s="6">
        <v>0</v>
      </c>
    </row>
    <row r="66" spans="6:10" x14ac:dyDescent="0.25">
      <c r="F66" s="48"/>
      <c r="G66" s="48"/>
      <c r="H66" s="48"/>
    </row>
    <row r="67" spans="6:10" x14ac:dyDescent="0.25">
      <c r="F67" s="4">
        <f>SUMPRODUCT($C$3:$C$12,F56:F65)</f>
        <v>7</v>
      </c>
      <c r="G67" s="4">
        <f>SUMPRODUCT($C$3:$C$12,G56:G65)</f>
        <v>0</v>
      </c>
      <c r="H67" s="4">
        <f>SUMPRODUCT($C$3:$C$12,H56:H65)</f>
        <v>0</v>
      </c>
      <c r="J67" s="17">
        <v>5.4464960587409568</v>
      </c>
    </row>
    <row r="68" spans="6:10" x14ac:dyDescent="0.25">
      <c r="F68" s="4">
        <v>20</v>
      </c>
      <c r="G68" s="4">
        <v>30</v>
      </c>
      <c r="H68" s="4">
        <v>25</v>
      </c>
    </row>
    <row r="70" spans="6:10" x14ac:dyDescent="0.25">
      <c r="F70" s="4" t="s">
        <v>4</v>
      </c>
      <c r="G70" s="4" t="s">
        <v>5</v>
      </c>
      <c r="H70" s="4" t="s">
        <v>6</v>
      </c>
      <c r="I70" s="4" t="s">
        <v>128</v>
      </c>
      <c r="J70" s="9" t="s">
        <v>134</v>
      </c>
    </row>
    <row r="71" spans="6:10" x14ac:dyDescent="0.25">
      <c r="F71" s="6">
        <v>0</v>
      </c>
      <c r="G71" s="6">
        <v>1</v>
      </c>
      <c r="H71" s="6">
        <v>0</v>
      </c>
      <c r="I71" s="6">
        <v>0</v>
      </c>
      <c r="J71" s="9" t="s">
        <v>135</v>
      </c>
    </row>
    <row r="72" spans="6:10" x14ac:dyDescent="0.25">
      <c r="F72" s="6">
        <v>0</v>
      </c>
      <c r="G72" s="6">
        <v>0</v>
      </c>
      <c r="H72" s="6">
        <v>0</v>
      </c>
      <c r="I72" s="6">
        <v>1</v>
      </c>
    </row>
    <row r="73" spans="6:10" x14ac:dyDescent="0.25">
      <c r="F73" s="6">
        <v>0</v>
      </c>
      <c r="G73" s="6">
        <v>1</v>
      </c>
      <c r="H73" s="6">
        <v>0</v>
      </c>
      <c r="I73" s="6">
        <v>0</v>
      </c>
    </row>
    <row r="74" spans="6:10" x14ac:dyDescent="0.25">
      <c r="F74" s="6">
        <v>0</v>
      </c>
      <c r="G74" s="6">
        <v>1</v>
      </c>
      <c r="H74" s="6">
        <v>0</v>
      </c>
      <c r="I74" s="6">
        <v>0</v>
      </c>
    </row>
    <row r="75" spans="6:10" x14ac:dyDescent="0.25">
      <c r="F75" s="6">
        <v>0</v>
      </c>
      <c r="G75" s="6">
        <v>0</v>
      </c>
      <c r="H75" s="6">
        <v>1</v>
      </c>
      <c r="I75" s="6">
        <v>0</v>
      </c>
    </row>
    <row r="76" spans="6:10" x14ac:dyDescent="0.25">
      <c r="F76" s="6">
        <v>1</v>
      </c>
      <c r="G76" s="6">
        <v>0</v>
      </c>
      <c r="H76" s="6">
        <v>0</v>
      </c>
      <c r="I76" s="6">
        <v>0</v>
      </c>
    </row>
    <row r="77" spans="6:10" x14ac:dyDescent="0.25">
      <c r="F77" s="6">
        <v>0</v>
      </c>
      <c r="G77" s="6">
        <v>0</v>
      </c>
      <c r="H77" s="6">
        <v>1</v>
      </c>
      <c r="I77" s="6">
        <v>0</v>
      </c>
    </row>
    <row r="78" spans="6:10" x14ac:dyDescent="0.25">
      <c r="F78" s="6">
        <v>1</v>
      </c>
      <c r="G78" s="6">
        <v>0</v>
      </c>
      <c r="H78" s="6">
        <v>0</v>
      </c>
      <c r="I78" s="6">
        <v>0</v>
      </c>
    </row>
    <row r="79" spans="6:10" x14ac:dyDescent="0.25">
      <c r="F79" s="6">
        <v>0</v>
      </c>
      <c r="G79" s="6">
        <v>0</v>
      </c>
      <c r="H79" s="6">
        <v>1</v>
      </c>
      <c r="I79" s="6">
        <v>0</v>
      </c>
    </row>
    <row r="80" spans="6:10" x14ac:dyDescent="0.25">
      <c r="F80" s="6">
        <v>0</v>
      </c>
      <c r="G80" s="6">
        <v>1</v>
      </c>
      <c r="H80" s="6">
        <v>0</v>
      </c>
      <c r="I80" s="6">
        <v>0</v>
      </c>
    </row>
    <row r="81" spans="6:10" x14ac:dyDescent="0.25">
      <c r="F81" s="48"/>
      <c r="G81" s="48"/>
      <c r="H81" s="48"/>
    </row>
    <row r="82" spans="6:10" x14ac:dyDescent="0.25">
      <c r="F82" s="4">
        <f>SUMPRODUCT($C$3:$C$12,F71:F80)</f>
        <v>17</v>
      </c>
      <c r="G82" s="4">
        <f>SUMPRODUCT($C$3:$C$12,G71:G80)</f>
        <v>27</v>
      </c>
      <c r="H82" s="4">
        <f>SUMPRODUCT($C$3:$C$12,H71:H80)</f>
        <v>23</v>
      </c>
      <c r="J82" s="17">
        <v>50.035633300939423</v>
      </c>
    </row>
    <row r="83" spans="6:10" x14ac:dyDescent="0.25">
      <c r="F83" s="4">
        <v>20</v>
      </c>
      <c r="G83" s="4">
        <v>30</v>
      </c>
      <c r="H83" s="4">
        <v>25</v>
      </c>
    </row>
    <row r="85" spans="6:10" x14ac:dyDescent="0.25">
      <c r="F85" s="4" t="s">
        <v>4</v>
      </c>
      <c r="G85" s="4" t="s">
        <v>5</v>
      </c>
      <c r="H85" s="4" t="s">
        <v>6</v>
      </c>
      <c r="I85" s="4" t="s">
        <v>128</v>
      </c>
      <c r="J85" s="9" t="s">
        <v>130</v>
      </c>
    </row>
    <row r="86" spans="6:10" x14ac:dyDescent="0.25">
      <c r="F86" s="6">
        <v>0</v>
      </c>
      <c r="G86" s="6">
        <v>1</v>
      </c>
      <c r="H86" s="6">
        <v>0</v>
      </c>
      <c r="I86" s="6">
        <v>0</v>
      </c>
      <c r="J86" s="9" t="s">
        <v>131</v>
      </c>
    </row>
    <row r="87" spans="6:10" x14ac:dyDescent="0.25">
      <c r="F87" s="6">
        <v>0</v>
      </c>
      <c r="G87" s="6">
        <v>0</v>
      </c>
      <c r="H87" s="6">
        <v>0</v>
      </c>
      <c r="I87" s="6">
        <v>1</v>
      </c>
    </row>
    <row r="88" spans="6:10" x14ac:dyDescent="0.25">
      <c r="F88" s="6">
        <v>0</v>
      </c>
      <c r="G88" s="6">
        <v>1</v>
      </c>
      <c r="H88" s="6">
        <v>0</v>
      </c>
      <c r="I88" s="6">
        <v>0</v>
      </c>
    </row>
    <row r="89" spans="6:10" x14ac:dyDescent="0.25">
      <c r="F89" s="6">
        <v>0</v>
      </c>
      <c r="G89" s="6">
        <v>1</v>
      </c>
      <c r="H89" s="6">
        <v>0</v>
      </c>
      <c r="I89" s="6">
        <v>0</v>
      </c>
    </row>
    <row r="90" spans="6:10" x14ac:dyDescent="0.25">
      <c r="F90" s="6">
        <v>0</v>
      </c>
      <c r="G90" s="6">
        <v>1</v>
      </c>
      <c r="H90" s="6">
        <v>0</v>
      </c>
      <c r="I90" s="6">
        <v>0</v>
      </c>
    </row>
    <row r="91" spans="6:10" x14ac:dyDescent="0.25">
      <c r="F91" s="6">
        <v>1</v>
      </c>
      <c r="G91" s="6">
        <v>0</v>
      </c>
      <c r="H91" s="6">
        <v>0</v>
      </c>
      <c r="I91" s="6">
        <v>0</v>
      </c>
    </row>
    <row r="92" spans="6:10" x14ac:dyDescent="0.25">
      <c r="F92" s="6">
        <v>0</v>
      </c>
      <c r="G92" s="6">
        <v>0</v>
      </c>
      <c r="H92" s="6">
        <v>1</v>
      </c>
      <c r="I92" s="6">
        <v>0</v>
      </c>
    </row>
    <row r="93" spans="6:10" x14ac:dyDescent="0.25">
      <c r="F93" s="6">
        <v>1</v>
      </c>
      <c r="G93" s="6">
        <v>0</v>
      </c>
      <c r="H93" s="6">
        <v>0</v>
      </c>
      <c r="I93" s="6">
        <v>0</v>
      </c>
    </row>
    <row r="94" spans="6:10" x14ac:dyDescent="0.25">
      <c r="F94" s="6">
        <v>1</v>
      </c>
      <c r="G94" s="6">
        <v>0</v>
      </c>
      <c r="H94" s="6">
        <v>0</v>
      </c>
      <c r="I94" s="6">
        <v>0</v>
      </c>
    </row>
    <row r="95" spans="6:10" x14ac:dyDescent="0.25">
      <c r="F95" s="6">
        <v>0</v>
      </c>
      <c r="G95" s="6">
        <v>0</v>
      </c>
      <c r="H95" s="6">
        <v>1</v>
      </c>
      <c r="I95" s="6">
        <v>0</v>
      </c>
    </row>
    <row r="96" spans="6:10" x14ac:dyDescent="0.25">
      <c r="F96" s="48"/>
      <c r="G96" s="48"/>
      <c r="H96" s="48"/>
    </row>
    <row r="97" spans="6:10" x14ac:dyDescent="0.25">
      <c r="F97" s="4">
        <f>SUMPRODUCT($C$3:$C$12,F86:F95)</f>
        <v>20</v>
      </c>
      <c r="G97" s="4">
        <f>SUMPRODUCT($C$3:$C$12,G86:G95)</f>
        <v>30</v>
      </c>
      <c r="H97" s="4">
        <f>SUMPRODUCT($C$3:$C$12,H86:H95)</f>
        <v>17</v>
      </c>
      <c r="J97" s="17">
        <v>53.709102688694529</v>
      </c>
    </row>
    <row r="98" spans="6:10" x14ac:dyDescent="0.25">
      <c r="F98" s="4">
        <v>20</v>
      </c>
      <c r="G98" s="4">
        <v>30</v>
      </c>
      <c r="H98" s="4">
        <v>25</v>
      </c>
    </row>
    <row r="100" spans="6:10" x14ac:dyDescent="0.25">
      <c r="F100" s="4" t="s">
        <v>4</v>
      </c>
      <c r="G100" s="4" t="s">
        <v>5</v>
      </c>
      <c r="H100" s="4" t="s">
        <v>6</v>
      </c>
      <c r="I100" s="4" t="s">
        <v>128</v>
      </c>
      <c r="J100" s="9" t="s">
        <v>140</v>
      </c>
    </row>
    <row r="101" spans="6:10" x14ac:dyDescent="0.25">
      <c r="F101" s="6">
        <v>1</v>
      </c>
      <c r="G101" s="6">
        <v>0</v>
      </c>
      <c r="H101" s="6">
        <v>0</v>
      </c>
      <c r="I101" s="6">
        <v>0</v>
      </c>
      <c r="J101" s="9" t="s">
        <v>141</v>
      </c>
    </row>
    <row r="102" spans="6:10" x14ac:dyDescent="0.25">
      <c r="F102" s="6">
        <v>0</v>
      </c>
      <c r="G102" s="6">
        <v>0</v>
      </c>
      <c r="H102" s="6">
        <v>1</v>
      </c>
      <c r="I102" s="6">
        <v>0</v>
      </c>
    </row>
    <row r="103" spans="6:10" x14ac:dyDescent="0.25">
      <c r="F103" s="6">
        <v>0</v>
      </c>
      <c r="G103" s="6">
        <v>1</v>
      </c>
      <c r="H103" s="6">
        <v>0</v>
      </c>
      <c r="I103" s="6">
        <v>0</v>
      </c>
    </row>
    <row r="104" spans="6:10" x14ac:dyDescent="0.25">
      <c r="F104" s="6">
        <v>0</v>
      </c>
      <c r="G104" s="6">
        <v>1</v>
      </c>
      <c r="H104" s="6">
        <v>0</v>
      </c>
      <c r="I104" s="6">
        <v>0</v>
      </c>
    </row>
    <row r="105" spans="6:10" x14ac:dyDescent="0.25">
      <c r="F105" s="6">
        <v>0</v>
      </c>
      <c r="G105" s="6">
        <v>1</v>
      </c>
      <c r="H105" s="6">
        <v>0</v>
      </c>
      <c r="I105" s="6">
        <v>0</v>
      </c>
    </row>
    <row r="106" spans="6:10" x14ac:dyDescent="0.25">
      <c r="F106" s="6">
        <v>1</v>
      </c>
      <c r="G106" s="6">
        <v>0</v>
      </c>
      <c r="H106" s="6">
        <v>0</v>
      </c>
      <c r="I106" s="6">
        <v>0</v>
      </c>
    </row>
    <row r="107" spans="6:10" x14ac:dyDescent="0.25">
      <c r="F107" s="6">
        <v>0</v>
      </c>
      <c r="G107" s="6">
        <v>0</v>
      </c>
      <c r="H107" s="6">
        <v>1</v>
      </c>
      <c r="I107" s="6">
        <v>0</v>
      </c>
    </row>
    <row r="108" spans="6:10" x14ac:dyDescent="0.25">
      <c r="F108" s="6">
        <v>0</v>
      </c>
      <c r="G108" s="6">
        <v>1</v>
      </c>
      <c r="H108" s="6">
        <v>0</v>
      </c>
      <c r="I108" s="6">
        <v>0</v>
      </c>
    </row>
    <row r="109" spans="6:10" x14ac:dyDescent="0.25">
      <c r="F109" s="6">
        <v>0</v>
      </c>
      <c r="G109" s="6">
        <v>1</v>
      </c>
      <c r="H109" s="6">
        <v>0</v>
      </c>
      <c r="I109" s="6">
        <v>0</v>
      </c>
    </row>
    <row r="110" spans="6:10" x14ac:dyDescent="0.25">
      <c r="F110" s="6">
        <v>0</v>
      </c>
      <c r="G110" s="6">
        <v>0</v>
      </c>
      <c r="H110" s="6">
        <v>0</v>
      </c>
      <c r="I110" s="6">
        <v>1</v>
      </c>
    </row>
    <row r="111" spans="6:10" x14ac:dyDescent="0.25">
      <c r="F111" s="48"/>
      <c r="G111" s="48"/>
      <c r="H111" s="48"/>
    </row>
    <row r="112" spans="6:10" x14ac:dyDescent="0.25">
      <c r="F112" s="4">
        <f>SUMPRODUCT($C$3:$C$12,F101:F110)</f>
        <v>20</v>
      </c>
      <c r="G112" s="4">
        <f>SUMPRODUCT($C$3:$C$12,G101:G110)</f>
        <v>30</v>
      </c>
      <c r="H112" s="4">
        <f>SUMPRODUCT($C$3:$C$12,H101:H110)</f>
        <v>25</v>
      </c>
      <c r="J112" s="17">
        <v>54.57294028722599</v>
      </c>
    </row>
    <row r="113" spans="6:10" x14ac:dyDescent="0.25">
      <c r="F113" s="4">
        <v>20</v>
      </c>
      <c r="G113" s="4">
        <v>30</v>
      </c>
      <c r="H113" s="4">
        <v>25</v>
      </c>
    </row>
    <row r="116" spans="6:10" x14ac:dyDescent="0.25">
      <c r="F116" s="4" t="s">
        <v>4</v>
      </c>
      <c r="G116" s="4" t="s">
        <v>5</v>
      </c>
      <c r="H116" s="4" t="s">
        <v>6</v>
      </c>
      <c r="I116" s="4" t="s">
        <v>128</v>
      </c>
      <c r="J116" s="9" t="s">
        <v>142</v>
      </c>
    </row>
    <row r="117" spans="6:10" x14ac:dyDescent="0.25">
      <c r="F117" s="6">
        <v>0</v>
      </c>
      <c r="G117" s="6">
        <v>1</v>
      </c>
      <c r="H117" s="6">
        <v>0</v>
      </c>
      <c r="I117" s="6">
        <v>0</v>
      </c>
    </row>
    <row r="118" spans="6:10" x14ac:dyDescent="0.25">
      <c r="F118" s="6">
        <v>0</v>
      </c>
      <c r="G118" s="6">
        <v>0</v>
      </c>
      <c r="H118" s="6">
        <v>1</v>
      </c>
      <c r="I118" s="6">
        <v>0</v>
      </c>
    </row>
    <row r="119" spans="6:10" x14ac:dyDescent="0.25">
      <c r="F119" s="6">
        <v>0</v>
      </c>
      <c r="G119" s="6">
        <v>1</v>
      </c>
      <c r="H119" s="6">
        <v>0</v>
      </c>
      <c r="I119" s="6">
        <v>0</v>
      </c>
    </row>
    <row r="120" spans="6:10" x14ac:dyDescent="0.25">
      <c r="F120" s="6">
        <v>1</v>
      </c>
      <c r="G120" s="6">
        <v>0</v>
      </c>
      <c r="H120" s="6">
        <v>0</v>
      </c>
      <c r="I120" s="6">
        <v>0</v>
      </c>
    </row>
    <row r="121" spans="6:10" x14ac:dyDescent="0.25">
      <c r="F121" s="6">
        <v>0</v>
      </c>
      <c r="G121" s="6">
        <v>1</v>
      </c>
      <c r="H121" s="6">
        <v>0</v>
      </c>
      <c r="I121" s="6">
        <v>0</v>
      </c>
    </row>
    <row r="122" spans="6:10" x14ac:dyDescent="0.25">
      <c r="F122" s="6">
        <v>1</v>
      </c>
      <c r="G122" s="6">
        <v>0</v>
      </c>
      <c r="H122" s="6">
        <v>0</v>
      </c>
      <c r="I122" s="6">
        <v>0</v>
      </c>
    </row>
    <row r="123" spans="6:10" x14ac:dyDescent="0.25">
      <c r="F123" s="6">
        <v>0</v>
      </c>
      <c r="G123" s="6">
        <v>0</v>
      </c>
      <c r="H123" s="6">
        <v>0</v>
      </c>
      <c r="I123" s="6">
        <v>1</v>
      </c>
    </row>
    <row r="124" spans="6:10" x14ac:dyDescent="0.25">
      <c r="F124" s="6">
        <v>0</v>
      </c>
      <c r="G124" s="6">
        <v>1</v>
      </c>
      <c r="H124" s="6">
        <v>0</v>
      </c>
      <c r="I124" s="6">
        <v>0</v>
      </c>
    </row>
    <row r="125" spans="6:10" x14ac:dyDescent="0.25">
      <c r="F125" s="6">
        <v>0</v>
      </c>
      <c r="G125" s="6">
        <v>1</v>
      </c>
      <c r="H125" s="6">
        <v>0</v>
      </c>
      <c r="I125" s="6">
        <v>0</v>
      </c>
    </row>
    <row r="126" spans="6:10" x14ac:dyDescent="0.25">
      <c r="F126" s="6">
        <v>0</v>
      </c>
      <c r="G126" s="6">
        <v>0</v>
      </c>
      <c r="H126" s="6">
        <v>1</v>
      </c>
      <c r="I126" s="6">
        <v>0</v>
      </c>
    </row>
    <row r="128" spans="6:10" x14ac:dyDescent="0.25">
      <c r="F128" s="4">
        <f>SUMPRODUCT($C$3:$C$12,F117:F126)</f>
        <v>20</v>
      </c>
      <c r="G128" s="4">
        <f>SUMPRODUCT($C$3:$C$12,G117:G126)</f>
        <v>30</v>
      </c>
      <c r="H128" s="4">
        <f>SUMPRODUCT($C$3:$C$12,H117:H126)</f>
        <v>22</v>
      </c>
      <c r="J128" s="17">
        <v>54.57294028722599</v>
      </c>
    </row>
    <row r="129" spans="6:8" x14ac:dyDescent="0.25">
      <c r="F129" s="4">
        <v>20</v>
      </c>
      <c r="G129" s="4">
        <v>30</v>
      </c>
      <c r="H129" s="4">
        <v>25</v>
      </c>
    </row>
  </sheetData>
  <conditionalFormatting sqref="F86:I95">
    <cfRule type="cellIs" dxfId="21" priority="9" operator="equal">
      <formula>1</formula>
    </cfRule>
  </conditionalFormatting>
  <conditionalFormatting sqref="F71:I80">
    <cfRule type="cellIs" dxfId="20" priority="7" operator="equal">
      <formula>1</formula>
    </cfRule>
  </conditionalFormatting>
  <conditionalFormatting sqref="F41:I50">
    <cfRule type="cellIs" dxfId="19" priority="8" operator="equal">
      <formula>1</formula>
    </cfRule>
  </conditionalFormatting>
  <conditionalFormatting sqref="F56:I65">
    <cfRule type="cellIs" dxfId="18" priority="6" operator="equal">
      <formula>1</formula>
    </cfRule>
  </conditionalFormatting>
  <conditionalFormatting sqref="F101:I110">
    <cfRule type="cellIs" dxfId="16" priority="3" operator="equal">
      <formula>1</formula>
    </cfRule>
  </conditionalFormatting>
  <conditionalFormatting sqref="F117:I126">
    <cfRule type="cellIs" dxfId="15" priority="2" operator="equal">
      <formula>1</formula>
    </cfRule>
  </conditionalFormatting>
  <conditionalFormatting sqref="E3:H12">
    <cfRule type="cellIs" dxfId="0" priority="1" operator="equal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77240-E7B6-4358-98FA-C548E550DF28}">
  <sheetPr codeName="Sheet2"/>
  <dimension ref="A2:L61"/>
  <sheetViews>
    <sheetView topLeftCell="A16" workbookViewId="0">
      <selection activeCell="J6" sqref="J6"/>
    </sheetView>
  </sheetViews>
  <sheetFormatPr defaultRowHeight="15" x14ac:dyDescent="0.25"/>
  <cols>
    <col min="1" max="1" width="2.7109375" customWidth="1"/>
    <col min="2" max="2" width="5" style="4" customWidth="1"/>
    <col min="3" max="3" width="5.5703125" style="4" customWidth="1"/>
    <col min="4" max="4" width="6.7109375" style="4" customWidth="1"/>
    <col min="5" max="5" width="7.42578125" style="4" customWidth="1"/>
    <col min="6" max="6" width="7.42578125" style="4" bestFit="1" customWidth="1"/>
    <col min="7" max="7" width="7.5703125" style="4" bestFit="1" customWidth="1"/>
    <col min="8" max="8" width="8.140625" style="4" customWidth="1"/>
    <col min="9" max="9" width="13.28515625" style="4" bestFit="1" customWidth="1"/>
    <col min="10" max="10" width="38.85546875" customWidth="1"/>
    <col min="11" max="11" width="4.28515625" customWidth="1"/>
    <col min="12" max="12" width="14.7109375" style="9" bestFit="1" customWidth="1"/>
  </cols>
  <sheetData>
    <row r="2" spans="1:12" ht="30" x14ac:dyDescent="0.25">
      <c r="B2" s="4" t="s">
        <v>0</v>
      </c>
      <c r="C2" s="4" t="s">
        <v>2</v>
      </c>
      <c r="D2" s="4" t="s">
        <v>3</v>
      </c>
      <c r="E2" s="4" t="s">
        <v>11</v>
      </c>
      <c r="F2" s="4" t="s">
        <v>12</v>
      </c>
      <c r="G2" s="4" t="s">
        <v>1</v>
      </c>
      <c r="H2" s="4" t="s">
        <v>99</v>
      </c>
      <c r="I2" s="39" t="s">
        <v>98</v>
      </c>
      <c r="L2" s="8">
        <v>0.05</v>
      </c>
    </row>
    <row r="3" spans="1:12" x14ac:dyDescent="0.25">
      <c r="A3">
        <v>1</v>
      </c>
      <c r="B3" s="6">
        <v>1</v>
      </c>
      <c r="C3" s="6">
        <v>5</v>
      </c>
      <c r="D3" s="36">
        <v>2</v>
      </c>
      <c r="E3" s="6" t="s">
        <v>4</v>
      </c>
      <c r="F3" s="38">
        <v>0</v>
      </c>
      <c r="G3" s="11">
        <f>D3*(1/(1+$L$2)^1+1/(1+$L$2)^2+1/(1+$L$2)^3)</f>
        <v>5.4464960587409568</v>
      </c>
      <c r="H3" s="11">
        <f>G3*F3</f>
        <v>0</v>
      </c>
      <c r="I3" s="4">
        <f t="shared" ref="I3:I12" si="0">F3+F13+F23+F33</f>
        <v>1</v>
      </c>
      <c r="L3" s="9" t="s">
        <v>10</v>
      </c>
    </row>
    <row r="4" spans="1:12" x14ac:dyDescent="0.25">
      <c r="A4">
        <v>2</v>
      </c>
      <c r="B4" s="6">
        <v>2</v>
      </c>
      <c r="C4" s="6">
        <v>15</v>
      </c>
      <c r="D4" s="36">
        <v>3</v>
      </c>
      <c r="E4" s="6" t="s">
        <v>4</v>
      </c>
      <c r="F4" s="38">
        <v>0</v>
      </c>
      <c r="G4" s="11">
        <f t="shared" ref="G4:G12" si="1">D4*(1/(1+$L$2)^1+1/(1+$L$2)^2+1/(1+$L$2)^3)</f>
        <v>8.169744088111436</v>
      </c>
      <c r="H4" s="11">
        <f t="shared" ref="H4:H42" si="2">G4*F4</f>
        <v>0</v>
      </c>
      <c r="I4" s="4">
        <f t="shared" si="0"/>
        <v>1</v>
      </c>
    </row>
    <row r="5" spans="1:12" x14ac:dyDescent="0.25">
      <c r="A5">
        <v>3</v>
      </c>
      <c r="B5" s="6">
        <v>3</v>
      </c>
      <c r="C5" s="6">
        <v>10</v>
      </c>
      <c r="D5" s="36">
        <v>5</v>
      </c>
      <c r="E5" s="6" t="s">
        <v>4</v>
      </c>
      <c r="F5" s="38">
        <v>0</v>
      </c>
      <c r="G5" s="11">
        <f t="shared" si="1"/>
        <v>13.616240146852391</v>
      </c>
      <c r="H5" s="11">
        <f t="shared" si="2"/>
        <v>0</v>
      </c>
      <c r="I5" s="4">
        <f t="shared" si="0"/>
        <v>1</v>
      </c>
    </row>
    <row r="6" spans="1:12" x14ac:dyDescent="0.25">
      <c r="A6">
        <v>4</v>
      </c>
      <c r="B6" s="6">
        <v>4</v>
      </c>
      <c r="C6" s="6">
        <v>5</v>
      </c>
      <c r="D6" s="36">
        <v>2</v>
      </c>
      <c r="E6" s="6" t="s">
        <v>4</v>
      </c>
      <c r="F6" s="38">
        <v>1</v>
      </c>
      <c r="G6" s="11">
        <f t="shared" si="1"/>
        <v>5.4464960587409568</v>
      </c>
      <c r="H6" s="11">
        <f t="shared" si="2"/>
        <v>5.4464960587409568</v>
      </c>
      <c r="I6" s="4">
        <f t="shared" si="0"/>
        <v>1</v>
      </c>
    </row>
    <row r="7" spans="1:12" x14ac:dyDescent="0.25">
      <c r="A7">
        <v>5</v>
      </c>
      <c r="B7" s="6">
        <v>5</v>
      </c>
      <c r="C7" s="6">
        <v>10</v>
      </c>
      <c r="D7" s="36">
        <v>4</v>
      </c>
      <c r="E7" s="6" t="s">
        <v>4</v>
      </c>
      <c r="F7" s="38">
        <v>0</v>
      </c>
      <c r="G7" s="11">
        <f t="shared" si="1"/>
        <v>10.892992117481914</v>
      </c>
      <c r="H7" s="11">
        <f t="shared" si="2"/>
        <v>0</v>
      </c>
      <c r="I7" s="4">
        <f t="shared" si="0"/>
        <v>1</v>
      </c>
    </row>
    <row r="8" spans="1:12" x14ac:dyDescent="0.25">
      <c r="A8">
        <v>6</v>
      </c>
      <c r="B8" s="20">
        <v>6</v>
      </c>
      <c r="C8" s="20">
        <v>15</v>
      </c>
      <c r="D8" s="37">
        <v>8</v>
      </c>
      <c r="E8" s="6" t="s">
        <v>4</v>
      </c>
      <c r="F8" s="38">
        <v>1</v>
      </c>
      <c r="G8" s="11">
        <f t="shared" si="1"/>
        <v>21.785984234963827</v>
      </c>
      <c r="H8" s="11">
        <f t="shared" si="2"/>
        <v>21.785984234963827</v>
      </c>
      <c r="I8" s="4">
        <f t="shared" si="0"/>
        <v>1</v>
      </c>
    </row>
    <row r="9" spans="1:12" x14ac:dyDescent="0.25">
      <c r="A9">
        <v>7</v>
      </c>
      <c r="B9" s="20">
        <v>7</v>
      </c>
      <c r="C9" s="20">
        <v>10</v>
      </c>
      <c r="D9" s="37">
        <v>2</v>
      </c>
      <c r="E9" s="6" t="s">
        <v>4</v>
      </c>
      <c r="F9" s="38">
        <v>0</v>
      </c>
      <c r="G9" s="11">
        <f t="shared" si="1"/>
        <v>5.4464960587409568</v>
      </c>
      <c r="H9" s="11">
        <f t="shared" si="2"/>
        <v>0</v>
      </c>
      <c r="I9" s="4">
        <f t="shared" si="0"/>
        <v>1</v>
      </c>
    </row>
    <row r="10" spans="1:12" x14ac:dyDescent="0.25">
      <c r="A10">
        <v>8</v>
      </c>
      <c r="B10" s="20">
        <v>8</v>
      </c>
      <c r="C10" s="20">
        <v>2</v>
      </c>
      <c r="D10" s="37">
        <v>1</v>
      </c>
      <c r="E10" s="6" t="s">
        <v>4</v>
      </c>
      <c r="F10" s="38">
        <v>0</v>
      </c>
      <c r="G10" s="11">
        <f t="shared" si="1"/>
        <v>2.7232480293704784</v>
      </c>
      <c r="H10" s="11">
        <f t="shared" si="2"/>
        <v>0</v>
      </c>
      <c r="I10" s="4">
        <f t="shared" si="0"/>
        <v>1</v>
      </c>
    </row>
    <row r="11" spans="1:12" x14ac:dyDescent="0.25">
      <c r="A11">
        <v>9</v>
      </c>
      <c r="B11" s="20">
        <v>9</v>
      </c>
      <c r="C11" s="20">
        <v>3</v>
      </c>
      <c r="D11" s="37">
        <v>1</v>
      </c>
      <c r="E11" s="6" t="s">
        <v>4</v>
      </c>
      <c r="F11" s="38">
        <v>0</v>
      </c>
      <c r="G11" s="11">
        <f t="shared" si="1"/>
        <v>2.7232480293704784</v>
      </c>
      <c r="H11" s="11">
        <f t="shared" si="2"/>
        <v>0</v>
      </c>
      <c r="I11" s="4">
        <f t="shared" si="0"/>
        <v>1</v>
      </c>
    </row>
    <row r="12" spans="1:12" x14ac:dyDescent="0.25">
      <c r="A12">
        <v>10</v>
      </c>
      <c r="B12" s="20">
        <v>10</v>
      </c>
      <c r="C12" s="20">
        <v>7</v>
      </c>
      <c r="D12" s="37">
        <v>2</v>
      </c>
      <c r="E12" s="6" t="s">
        <v>4</v>
      </c>
      <c r="F12" s="38">
        <v>0</v>
      </c>
      <c r="G12" s="11">
        <f t="shared" si="1"/>
        <v>5.4464960587409568</v>
      </c>
      <c r="H12" s="11">
        <f t="shared" si="2"/>
        <v>0</v>
      </c>
      <c r="I12" s="4">
        <f t="shared" si="0"/>
        <v>1</v>
      </c>
    </row>
    <row r="13" spans="1:12" x14ac:dyDescent="0.25">
      <c r="A13">
        <f>A12+1</f>
        <v>11</v>
      </c>
      <c r="B13" s="6">
        <v>1</v>
      </c>
      <c r="C13" s="6">
        <v>5</v>
      </c>
      <c r="D13" s="36">
        <v>2</v>
      </c>
      <c r="E13" s="6" t="s">
        <v>5</v>
      </c>
      <c r="F13" s="38">
        <v>1</v>
      </c>
      <c r="G13" s="11">
        <f>D13*(1/(1+$L$2)^2+1/(1+$L$2)^3)</f>
        <v>3.5417341539790517</v>
      </c>
      <c r="H13" s="11">
        <f t="shared" si="2"/>
        <v>3.5417341539790517</v>
      </c>
    </row>
    <row r="14" spans="1:12" x14ac:dyDescent="0.25">
      <c r="A14">
        <f t="shared" ref="A14:A42" si="3">A13+1</f>
        <v>12</v>
      </c>
      <c r="B14" s="6">
        <v>2</v>
      </c>
      <c r="C14" s="6">
        <v>15</v>
      </c>
      <c r="D14" s="36">
        <v>3</v>
      </c>
      <c r="E14" s="6" t="s">
        <v>5</v>
      </c>
      <c r="F14" s="38">
        <v>0</v>
      </c>
      <c r="G14" s="11">
        <f t="shared" ref="G14:G22" si="4">D14*(1/(1+$L$2)^2+1/(1+$L$2)^3)</f>
        <v>5.3126012309685775</v>
      </c>
      <c r="H14" s="11">
        <f t="shared" si="2"/>
        <v>0</v>
      </c>
    </row>
    <row r="15" spans="1:12" x14ac:dyDescent="0.25">
      <c r="A15">
        <f t="shared" si="3"/>
        <v>13</v>
      </c>
      <c r="B15" s="6">
        <v>3</v>
      </c>
      <c r="C15" s="6">
        <v>10</v>
      </c>
      <c r="D15" s="36">
        <v>5</v>
      </c>
      <c r="E15" s="6" t="s">
        <v>5</v>
      </c>
      <c r="F15" s="38">
        <v>1</v>
      </c>
      <c r="G15" s="11">
        <f t="shared" si="4"/>
        <v>8.8543353849476283</v>
      </c>
      <c r="H15" s="11">
        <f t="shared" si="2"/>
        <v>8.8543353849476283</v>
      </c>
    </row>
    <row r="16" spans="1:12" x14ac:dyDescent="0.25">
      <c r="A16">
        <f t="shared" si="3"/>
        <v>14</v>
      </c>
      <c r="B16" s="6">
        <v>4</v>
      </c>
      <c r="C16" s="6">
        <v>5</v>
      </c>
      <c r="D16" s="36">
        <v>2</v>
      </c>
      <c r="E16" s="6" t="s">
        <v>5</v>
      </c>
      <c r="F16" s="38">
        <v>0</v>
      </c>
      <c r="G16" s="11">
        <f t="shared" si="4"/>
        <v>3.5417341539790517</v>
      </c>
      <c r="H16" s="11">
        <f t="shared" si="2"/>
        <v>0</v>
      </c>
    </row>
    <row r="17" spans="1:8" x14ac:dyDescent="0.25">
      <c r="A17">
        <f t="shared" si="3"/>
        <v>15</v>
      </c>
      <c r="B17" s="6">
        <v>5</v>
      </c>
      <c r="C17" s="6">
        <v>10</v>
      </c>
      <c r="D17" s="36">
        <v>4</v>
      </c>
      <c r="E17" s="6" t="s">
        <v>5</v>
      </c>
      <c r="F17" s="38">
        <v>1</v>
      </c>
      <c r="G17" s="11">
        <f t="shared" si="4"/>
        <v>7.0834683079581033</v>
      </c>
      <c r="H17" s="11">
        <f t="shared" si="2"/>
        <v>7.0834683079581033</v>
      </c>
    </row>
    <row r="18" spans="1:8" x14ac:dyDescent="0.25">
      <c r="A18">
        <f t="shared" si="3"/>
        <v>16</v>
      </c>
      <c r="B18" s="20">
        <v>6</v>
      </c>
      <c r="C18" s="20">
        <v>15</v>
      </c>
      <c r="D18" s="37">
        <v>8</v>
      </c>
      <c r="E18" s="6" t="s">
        <v>5</v>
      </c>
      <c r="F18" s="38">
        <v>0</v>
      </c>
      <c r="G18" s="11">
        <f t="shared" si="4"/>
        <v>14.166936615916207</v>
      </c>
      <c r="H18" s="11">
        <f t="shared" si="2"/>
        <v>0</v>
      </c>
    </row>
    <row r="19" spans="1:8" x14ac:dyDescent="0.25">
      <c r="A19">
        <f t="shared" si="3"/>
        <v>17</v>
      </c>
      <c r="B19" s="20">
        <v>7</v>
      </c>
      <c r="C19" s="20">
        <v>10</v>
      </c>
      <c r="D19" s="37">
        <v>2</v>
      </c>
      <c r="E19" s="6" t="s">
        <v>5</v>
      </c>
      <c r="F19" s="38">
        <v>0</v>
      </c>
      <c r="G19" s="11">
        <f t="shared" si="4"/>
        <v>3.5417341539790517</v>
      </c>
      <c r="H19" s="11">
        <f t="shared" si="2"/>
        <v>0</v>
      </c>
    </row>
    <row r="20" spans="1:8" x14ac:dyDescent="0.25">
      <c r="A20">
        <f t="shared" si="3"/>
        <v>18</v>
      </c>
      <c r="B20" s="20">
        <v>8</v>
      </c>
      <c r="C20" s="20">
        <v>2</v>
      </c>
      <c r="D20" s="37">
        <v>1</v>
      </c>
      <c r="E20" s="6" t="s">
        <v>5</v>
      </c>
      <c r="F20" s="38">
        <v>1</v>
      </c>
      <c r="G20" s="11">
        <f t="shared" si="4"/>
        <v>1.7708670769895258</v>
      </c>
      <c r="H20" s="11">
        <f t="shared" si="2"/>
        <v>1.7708670769895258</v>
      </c>
    </row>
    <row r="21" spans="1:8" x14ac:dyDescent="0.25">
      <c r="A21">
        <f t="shared" si="3"/>
        <v>19</v>
      </c>
      <c r="B21" s="20">
        <v>9</v>
      </c>
      <c r="C21" s="20">
        <v>3</v>
      </c>
      <c r="D21" s="37">
        <v>1</v>
      </c>
      <c r="E21" s="6" t="s">
        <v>5</v>
      </c>
      <c r="F21" s="38">
        <v>1</v>
      </c>
      <c r="G21" s="11">
        <f t="shared" si="4"/>
        <v>1.7708670769895258</v>
      </c>
      <c r="H21" s="11">
        <f t="shared" si="2"/>
        <v>1.7708670769895258</v>
      </c>
    </row>
    <row r="22" spans="1:8" x14ac:dyDescent="0.25">
      <c r="A22">
        <f t="shared" si="3"/>
        <v>20</v>
      </c>
      <c r="B22" s="20">
        <v>10</v>
      </c>
      <c r="C22" s="20">
        <v>7</v>
      </c>
      <c r="D22" s="37">
        <v>2</v>
      </c>
      <c r="E22" s="6" t="s">
        <v>5</v>
      </c>
      <c r="F22" s="38">
        <v>0</v>
      </c>
      <c r="G22" s="11">
        <f t="shared" si="4"/>
        <v>3.5417341539790517</v>
      </c>
      <c r="H22" s="11">
        <f t="shared" si="2"/>
        <v>0</v>
      </c>
    </row>
    <row r="23" spans="1:8" x14ac:dyDescent="0.25">
      <c r="A23">
        <f t="shared" si="3"/>
        <v>21</v>
      </c>
      <c r="B23" s="6">
        <v>1</v>
      </c>
      <c r="C23" s="6">
        <v>5</v>
      </c>
      <c r="D23" s="36">
        <v>2</v>
      </c>
      <c r="E23" s="6" t="s">
        <v>6</v>
      </c>
      <c r="F23" s="38">
        <v>0</v>
      </c>
      <c r="G23" s="11">
        <f>D23*(1/(1+$L$2)^3)</f>
        <v>1.727675197062952</v>
      </c>
      <c r="H23" s="11">
        <f t="shared" si="2"/>
        <v>0</v>
      </c>
    </row>
    <row r="24" spans="1:8" x14ac:dyDescent="0.25">
      <c r="A24">
        <f t="shared" si="3"/>
        <v>22</v>
      </c>
      <c r="B24" s="6">
        <v>2</v>
      </c>
      <c r="C24" s="6">
        <v>15</v>
      </c>
      <c r="D24" s="36">
        <v>3</v>
      </c>
      <c r="E24" s="6" t="s">
        <v>6</v>
      </c>
      <c r="F24" s="38">
        <v>1</v>
      </c>
      <c r="G24" s="11">
        <f t="shared" ref="G24:G32" si="5">D24*(1/(1+$L$2)^3)</f>
        <v>2.5915127955944279</v>
      </c>
      <c r="H24" s="11">
        <f t="shared" si="2"/>
        <v>2.5915127955944279</v>
      </c>
    </row>
    <row r="25" spans="1:8" x14ac:dyDescent="0.25">
      <c r="A25">
        <f t="shared" si="3"/>
        <v>23</v>
      </c>
      <c r="B25" s="6">
        <v>3</v>
      </c>
      <c r="C25" s="6">
        <v>10</v>
      </c>
      <c r="D25" s="36">
        <v>5</v>
      </c>
      <c r="E25" s="6" t="s">
        <v>6</v>
      </c>
      <c r="F25" s="38">
        <v>0</v>
      </c>
      <c r="G25" s="11">
        <f t="shared" si="5"/>
        <v>4.3191879926573797</v>
      </c>
      <c r="H25" s="11">
        <f t="shared" si="2"/>
        <v>0</v>
      </c>
    </row>
    <row r="26" spans="1:8" x14ac:dyDescent="0.25">
      <c r="A26">
        <f t="shared" si="3"/>
        <v>24</v>
      </c>
      <c r="B26" s="6">
        <v>4</v>
      </c>
      <c r="C26" s="6">
        <v>5</v>
      </c>
      <c r="D26" s="36">
        <v>2</v>
      </c>
      <c r="E26" s="6" t="s">
        <v>6</v>
      </c>
      <c r="F26" s="38">
        <v>0</v>
      </c>
      <c r="G26" s="11">
        <f t="shared" si="5"/>
        <v>1.727675197062952</v>
      </c>
      <c r="H26" s="11">
        <f t="shared" si="2"/>
        <v>0</v>
      </c>
    </row>
    <row r="27" spans="1:8" x14ac:dyDescent="0.25">
      <c r="A27">
        <f t="shared" si="3"/>
        <v>25</v>
      </c>
      <c r="B27" s="6">
        <v>5</v>
      </c>
      <c r="C27" s="6">
        <v>10</v>
      </c>
      <c r="D27" s="36">
        <v>4</v>
      </c>
      <c r="E27" s="6" t="s">
        <v>6</v>
      </c>
      <c r="F27" s="38">
        <v>0</v>
      </c>
      <c r="G27" s="11">
        <f t="shared" si="5"/>
        <v>3.4553503941259041</v>
      </c>
      <c r="H27" s="11">
        <f t="shared" si="2"/>
        <v>0</v>
      </c>
    </row>
    <row r="28" spans="1:8" x14ac:dyDescent="0.25">
      <c r="A28">
        <f t="shared" si="3"/>
        <v>26</v>
      </c>
      <c r="B28" s="20">
        <v>6</v>
      </c>
      <c r="C28" s="20">
        <v>15</v>
      </c>
      <c r="D28" s="37">
        <v>8</v>
      </c>
      <c r="E28" s="6" t="s">
        <v>6</v>
      </c>
      <c r="F28" s="38">
        <v>0</v>
      </c>
      <c r="G28" s="11">
        <f t="shared" si="5"/>
        <v>6.9107007882518081</v>
      </c>
      <c r="H28" s="11">
        <f t="shared" si="2"/>
        <v>0</v>
      </c>
    </row>
    <row r="29" spans="1:8" x14ac:dyDescent="0.25">
      <c r="A29">
        <f t="shared" si="3"/>
        <v>27</v>
      </c>
      <c r="B29" s="20">
        <v>7</v>
      </c>
      <c r="C29" s="20">
        <v>10</v>
      </c>
      <c r="D29" s="37">
        <v>2</v>
      </c>
      <c r="E29" s="6" t="s">
        <v>6</v>
      </c>
      <c r="F29" s="38">
        <v>1</v>
      </c>
      <c r="G29" s="11">
        <f t="shared" si="5"/>
        <v>1.727675197062952</v>
      </c>
      <c r="H29" s="11">
        <f t="shared" si="2"/>
        <v>1.727675197062952</v>
      </c>
    </row>
    <row r="30" spans="1:8" x14ac:dyDescent="0.25">
      <c r="A30">
        <f t="shared" si="3"/>
        <v>28</v>
      </c>
      <c r="B30" s="20">
        <v>8</v>
      </c>
      <c r="C30" s="20">
        <v>2</v>
      </c>
      <c r="D30" s="37">
        <v>1</v>
      </c>
      <c r="E30" s="6" t="s">
        <v>6</v>
      </c>
      <c r="F30" s="38">
        <v>0</v>
      </c>
      <c r="G30" s="11">
        <f t="shared" si="5"/>
        <v>0.86383759853147601</v>
      </c>
      <c r="H30" s="11">
        <f t="shared" si="2"/>
        <v>0</v>
      </c>
    </row>
    <row r="31" spans="1:8" x14ac:dyDescent="0.25">
      <c r="A31">
        <f t="shared" si="3"/>
        <v>29</v>
      </c>
      <c r="B31" s="20">
        <v>9</v>
      </c>
      <c r="C31" s="20">
        <v>3</v>
      </c>
      <c r="D31" s="37">
        <v>1</v>
      </c>
      <c r="E31" s="6" t="s">
        <v>6</v>
      </c>
      <c r="F31" s="38">
        <v>0</v>
      </c>
      <c r="G31" s="11">
        <f t="shared" si="5"/>
        <v>0.86383759853147601</v>
      </c>
      <c r="H31" s="11">
        <f t="shared" si="2"/>
        <v>0</v>
      </c>
    </row>
    <row r="32" spans="1:8" x14ac:dyDescent="0.25">
      <c r="A32">
        <f t="shared" si="3"/>
        <v>30</v>
      </c>
      <c r="B32" s="20">
        <v>10</v>
      </c>
      <c r="C32" s="20">
        <v>7</v>
      </c>
      <c r="D32" s="37">
        <v>2</v>
      </c>
      <c r="E32" s="6" t="s">
        <v>6</v>
      </c>
      <c r="F32" s="38">
        <v>0</v>
      </c>
      <c r="G32" s="11">
        <f t="shared" si="5"/>
        <v>1.727675197062952</v>
      </c>
      <c r="H32" s="11">
        <f t="shared" si="2"/>
        <v>0</v>
      </c>
    </row>
    <row r="33" spans="1:10" x14ac:dyDescent="0.25">
      <c r="A33">
        <f t="shared" si="3"/>
        <v>31</v>
      </c>
      <c r="B33" s="6">
        <v>1</v>
      </c>
      <c r="C33" s="6">
        <v>5</v>
      </c>
      <c r="D33" s="36">
        <v>2</v>
      </c>
      <c r="E33" s="6" t="s">
        <v>7</v>
      </c>
      <c r="F33" s="38">
        <v>0</v>
      </c>
      <c r="G33" s="11">
        <v>0</v>
      </c>
      <c r="H33" s="11">
        <f t="shared" si="2"/>
        <v>0</v>
      </c>
    </row>
    <row r="34" spans="1:10" x14ac:dyDescent="0.25">
      <c r="A34">
        <f t="shared" si="3"/>
        <v>32</v>
      </c>
      <c r="B34" s="6">
        <v>2</v>
      </c>
      <c r="C34" s="6">
        <v>15</v>
      </c>
      <c r="D34" s="36">
        <v>3</v>
      </c>
      <c r="E34" s="6" t="s">
        <v>7</v>
      </c>
      <c r="F34" s="38">
        <v>0</v>
      </c>
      <c r="G34" s="11">
        <v>0</v>
      </c>
      <c r="H34" s="11">
        <f t="shared" si="2"/>
        <v>0</v>
      </c>
    </row>
    <row r="35" spans="1:10" x14ac:dyDescent="0.25">
      <c r="A35">
        <f t="shared" si="3"/>
        <v>33</v>
      </c>
      <c r="B35" s="6">
        <v>3</v>
      </c>
      <c r="C35" s="6">
        <v>10</v>
      </c>
      <c r="D35" s="36">
        <v>5</v>
      </c>
      <c r="E35" s="6" t="s">
        <v>7</v>
      </c>
      <c r="F35" s="38">
        <v>0</v>
      </c>
      <c r="G35" s="11">
        <v>0</v>
      </c>
      <c r="H35" s="11">
        <f t="shared" si="2"/>
        <v>0</v>
      </c>
    </row>
    <row r="36" spans="1:10" x14ac:dyDescent="0.25">
      <c r="A36">
        <f t="shared" si="3"/>
        <v>34</v>
      </c>
      <c r="B36" s="6">
        <v>4</v>
      </c>
      <c r="C36" s="6">
        <v>5</v>
      </c>
      <c r="D36" s="36">
        <v>2</v>
      </c>
      <c r="E36" s="6" t="s">
        <v>7</v>
      </c>
      <c r="F36" s="38">
        <v>0</v>
      </c>
      <c r="G36" s="11">
        <v>0</v>
      </c>
      <c r="H36" s="11">
        <f t="shared" si="2"/>
        <v>0</v>
      </c>
    </row>
    <row r="37" spans="1:10" x14ac:dyDescent="0.25">
      <c r="A37">
        <f t="shared" si="3"/>
        <v>35</v>
      </c>
      <c r="B37" s="6">
        <v>5</v>
      </c>
      <c r="C37" s="6">
        <v>10</v>
      </c>
      <c r="D37" s="36">
        <v>4</v>
      </c>
      <c r="E37" s="6" t="s">
        <v>7</v>
      </c>
      <c r="F37" s="38">
        <v>0</v>
      </c>
      <c r="G37" s="11">
        <v>0</v>
      </c>
      <c r="H37" s="11">
        <f t="shared" si="2"/>
        <v>0</v>
      </c>
    </row>
    <row r="38" spans="1:10" x14ac:dyDescent="0.25">
      <c r="A38">
        <f t="shared" si="3"/>
        <v>36</v>
      </c>
      <c r="B38" s="20">
        <v>6</v>
      </c>
      <c r="C38" s="20">
        <v>15</v>
      </c>
      <c r="D38" s="37">
        <v>8</v>
      </c>
      <c r="E38" s="6" t="s">
        <v>7</v>
      </c>
      <c r="F38" s="38">
        <v>0</v>
      </c>
      <c r="G38" s="11">
        <v>0</v>
      </c>
      <c r="H38" s="11">
        <f t="shared" si="2"/>
        <v>0</v>
      </c>
    </row>
    <row r="39" spans="1:10" x14ac:dyDescent="0.25">
      <c r="A39">
        <f t="shared" si="3"/>
        <v>37</v>
      </c>
      <c r="B39" s="20">
        <v>7</v>
      </c>
      <c r="C39" s="20">
        <v>10</v>
      </c>
      <c r="D39" s="37">
        <v>2</v>
      </c>
      <c r="E39" s="6" t="s">
        <v>7</v>
      </c>
      <c r="F39" s="38">
        <v>0</v>
      </c>
      <c r="G39" s="11">
        <v>0</v>
      </c>
      <c r="H39" s="11">
        <f t="shared" si="2"/>
        <v>0</v>
      </c>
    </row>
    <row r="40" spans="1:10" x14ac:dyDescent="0.25">
      <c r="A40">
        <f t="shared" si="3"/>
        <v>38</v>
      </c>
      <c r="B40" s="20">
        <v>8</v>
      </c>
      <c r="C40" s="20">
        <v>2</v>
      </c>
      <c r="D40" s="37">
        <v>1</v>
      </c>
      <c r="E40" s="6" t="s">
        <v>7</v>
      </c>
      <c r="F40" s="38">
        <v>0</v>
      </c>
      <c r="G40" s="11">
        <v>0</v>
      </c>
      <c r="H40" s="11">
        <f t="shared" si="2"/>
        <v>0</v>
      </c>
    </row>
    <row r="41" spans="1:10" x14ac:dyDescent="0.25">
      <c r="A41">
        <f t="shared" si="3"/>
        <v>39</v>
      </c>
      <c r="B41" s="20">
        <v>9</v>
      </c>
      <c r="C41" s="20">
        <v>3</v>
      </c>
      <c r="D41" s="37">
        <v>1</v>
      </c>
      <c r="E41" s="6" t="s">
        <v>7</v>
      </c>
      <c r="F41" s="38">
        <v>0</v>
      </c>
      <c r="G41" s="11">
        <v>0</v>
      </c>
      <c r="H41" s="11">
        <f t="shared" si="2"/>
        <v>0</v>
      </c>
    </row>
    <row r="42" spans="1:10" x14ac:dyDescent="0.25">
      <c r="A42">
        <f t="shared" si="3"/>
        <v>40</v>
      </c>
      <c r="B42" s="20">
        <v>10</v>
      </c>
      <c r="C42" s="20">
        <v>7</v>
      </c>
      <c r="D42" s="37">
        <v>2</v>
      </c>
      <c r="E42" s="6" t="s">
        <v>7</v>
      </c>
      <c r="F42" s="38">
        <v>1</v>
      </c>
      <c r="G42" s="11">
        <v>0</v>
      </c>
      <c r="H42" s="11">
        <f t="shared" si="2"/>
        <v>0</v>
      </c>
    </row>
    <row r="44" spans="1:10" x14ac:dyDescent="0.25">
      <c r="H44" s="4">
        <f>SUM(H3:H42)</f>
        <v>54.57294028722599</v>
      </c>
    </row>
    <row r="48" spans="1:10" ht="36" customHeight="1" x14ac:dyDescent="0.25">
      <c r="B48" s="9" t="s">
        <v>0</v>
      </c>
      <c r="C48" s="9" t="s">
        <v>2</v>
      </c>
      <c r="D48" s="9" t="s">
        <v>3</v>
      </c>
      <c r="E48" s="9" t="s">
        <v>4</v>
      </c>
      <c r="F48" s="9" t="s">
        <v>5</v>
      </c>
      <c r="G48" s="9" t="s">
        <v>6</v>
      </c>
      <c r="H48" s="9" t="s">
        <v>7</v>
      </c>
      <c r="I48" s="42" t="s">
        <v>101</v>
      </c>
      <c r="J48" s="9" t="s">
        <v>100</v>
      </c>
    </row>
    <row r="49" spans="1:10" x14ac:dyDescent="0.25">
      <c r="A49">
        <v>1</v>
      </c>
      <c r="B49" s="6">
        <v>1</v>
      </c>
      <c r="C49" s="6">
        <v>5</v>
      </c>
      <c r="D49" s="6">
        <v>2</v>
      </c>
      <c r="E49" s="6">
        <f>F3</f>
        <v>0</v>
      </c>
      <c r="F49" s="6">
        <f>F13</f>
        <v>1</v>
      </c>
      <c r="G49" s="6">
        <f>F23</f>
        <v>0</v>
      </c>
      <c r="H49" s="6">
        <f>F33</f>
        <v>0</v>
      </c>
      <c r="I49" s="36">
        <f t="shared" ref="I49:I58" si="6">SUM(E49:H49)</f>
        <v>1</v>
      </c>
      <c r="J49" s="41">
        <f>IF(E49=1,$D49*(1/(1+$L$2)+1/(1+$L$2)^2+1/(1+$L$2)^3),IF(F49=1,$D49*(1/(1+$L$2)^2+1/(1+$L$2)^3),IF(G49=1,$D49*(1/(1+$L$2)^3),0)))</f>
        <v>3.5417341539790517</v>
      </c>
    </row>
    <row r="50" spans="1:10" x14ac:dyDescent="0.25">
      <c r="A50">
        <v>2</v>
      </c>
      <c r="B50" s="6">
        <v>2</v>
      </c>
      <c r="C50" s="6">
        <v>15</v>
      </c>
      <c r="D50" s="6">
        <v>3</v>
      </c>
      <c r="E50" s="6">
        <f t="shared" ref="E50:E58" si="7">F4</f>
        <v>0</v>
      </c>
      <c r="F50" s="6">
        <f t="shared" ref="F50:F58" si="8">F14</f>
        <v>0</v>
      </c>
      <c r="G50" s="6">
        <f t="shared" ref="G50:G58" si="9">F24</f>
        <v>1</v>
      </c>
      <c r="H50" s="6">
        <f t="shared" ref="H50:H58" si="10">F34</f>
        <v>0</v>
      </c>
      <c r="I50" s="36">
        <f t="shared" si="6"/>
        <v>1</v>
      </c>
      <c r="J50" s="41">
        <f t="shared" ref="J50:J58" si="11">IF(E50=1,$D50*(1/(1+$L$2)+1/(1+$L$2)^2+1/(1+$L$2)^3),IF(F50=1,$D50*(1/(1+$L$2)^2+1/(1+$L$2)^3),IF(G50=1,$D50*(1/(1+$L$2)^3),0)))</f>
        <v>2.5915127955944279</v>
      </c>
    </row>
    <row r="51" spans="1:10" x14ac:dyDescent="0.25">
      <c r="A51">
        <v>3</v>
      </c>
      <c r="B51" s="6">
        <v>3</v>
      </c>
      <c r="C51" s="6">
        <v>10</v>
      </c>
      <c r="D51" s="6">
        <v>5</v>
      </c>
      <c r="E51" s="6">
        <f t="shared" si="7"/>
        <v>0</v>
      </c>
      <c r="F51" s="6">
        <f t="shared" si="8"/>
        <v>1</v>
      </c>
      <c r="G51" s="6">
        <f t="shared" si="9"/>
        <v>0</v>
      </c>
      <c r="H51" s="6">
        <f t="shared" si="10"/>
        <v>0</v>
      </c>
      <c r="I51" s="36">
        <f t="shared" si="6"/>
        <v>1</v>
      </c>
      <c r="J51" s="41">
        <f t="shared" si="11"/>
        <v>8.8543353849476283</v>
      </c>
    </row>
    <row r="52" spans="1:10" x14ac:dyDescent="0.25">
      <c r="A52">
        <v>4</v>
      </c>
      <c r="B52" s="6">
        <v>4</v>
      </c>
      <c r="C52" s="6">
        <v>5</v>
      </c>
      <c r="D52" s="6">
        <v>2</v>
      </c>
      <c r="E52" s="6">
        <f t="shared" si="7"/>
        <v>1</v>
      </c>
      <c r="F52" s="6">
        <f t="shared" si="8"/>
        <v>0</v>
      </c>
      <c r="G52" s="6">
        <f t="shared" si="9"/>
        <v>0</v>
      </c>
      <c r="H52" s="6">
        <f t="shared" si="10"/>
        <v>0</v>
      </c>
      <c r="I52" s="36">
        <f t="shared" si="6"/>
        <v>1</v>
      </c>
      <c r="J52" s="41">
        <f t="shared" si="11"/>
        <v>5.4464960587409568</v>
      </c>
    </row>
    <row r="53" spans="1:10" x14ac:dyDescent="0.25">
      <c r="A53">
        <v>5</v>
      </c>
      <c r="B53" s="6">
        <v>5</v>
      </c>
      <c r="C53" s="6">
        <v>10</v>
      </c>
      <c r="D53" s="6">
        <v>4</v>
      </c>
      <c r="E53" s="6">
        <f t="shared" si="7"/>
        <v>0</v>
      </c>
      <c r="F53" s="6">
        <f t="shared" si="8"/>
        <v>1</v>
      </c>
      <c r="G53" s="6">
        <f t="shared" si="9"/>
        <v>0</v>
      </c>
      <c r="H53" s="6">
        <f t="shared" si="10"/>
        <v>0</v>
      </c>
      <c r="I53" s="36">
        <f t="shared" si="6"/>
        <v>1</v>
      </c>
      <c r="J53" s="41">
        <f t="shared" si="11"/>
        <v>7.0834683079581033</v>
      </c>
    </row>
    <row r="54" spans="1:10" x14ac:dyDescent="0.25">
      <c r="A54">
        <v>6</v>
      </c>
      <c r="B54" s="20">
        <v>6</v>
      </c>
      <c r="C54" s="20">
        <v>15</v>
      </c>
      <c r="D54" s="20">
        <v>8</v>
      </c>
      <c r="E54" s="6">
        <f t="shared" si="7"/>
        <v>1</v>
      </c>
      <c r="F54" s="6">
        <f t="shared" si="8"/>
        <v>0</v>
      </c>
      <c r="G54" s="6">
        <f t="shared" si="9"/>
        <v>0</v>
      </c>
      <c r="H54" s="6">
        <f t="shared" si="10"/>
        <v>0</v>
      </c>
      <c r="I54" s="36">
        <f t="shared" si="6"/>
        <v>1</v>
      </c>
      <c r="J54" s="41">
        <f t="shared" si="11"/>
        <v>21.785984234963827</v>
      </c>
    </row>
    <row r="55" spans="1:10" x14ac:dyDescent="0.25">
      <c r="A55">
        <v>7</v>
      </c>
      <c r="B55" s="20">
        <v>7</v>
      </c>
      <c r="C55" s="20">
        <v>10</v>
      </c>
      <c r="D55" s="20">
        <v>2</v>
      </c>
      <c r="E55" s="6">
        <f t="shared" si="7"/>
        <v>0</v>
      </c>
      <c r="F55" s="6">
        <f t="shared" si="8"/>
        <v>0</v>
      </c>
      <c r="G55" s="6">
        <f t="shared" si="9"/>
        <v>1</v>
      </c>
      <c r="H55" s="6">
        <f t="shared" si="10"/>
        <v>0</v>
      </c>
      <c r="I55" s="36">
        <f t="shared" si="6"/>
        <v>1</v>
      </c>
      <c r="J55" s="41">
        <f t="shared" si="11"/>
        <v>1.727675197062952</v>
      </c>
    </row>
    <row r="56" spans="1:10" x14ac:dyDescent="0.25">
      <c r="A56">
        <v>8</v>
      </c>
      <c r="B56" s="20">
        <v>8</v>
      </c>
      <c r="C56" s="20">
        <v>2</v>
      </c>
      <c r="D56" s="20">
        <v>1</v>
      </c>
      <c r="E56" s="6">
        <f t="shared" si="7"/>
        <v>0</v>
      </c>
      <c r="F56" s="6">
        <f t="shared" si="8"/>
        <v>1</v>
      </c>
      <c r="G56" s="6">
        <f t="shared" si="9"/>
        <v>0</v>
      </c>
      <c r="H56" s="6">
        <f t="shared" si="10"/>
        <v>0</v>
      </c>
      <c r="I56" s="36">
        <f t="shared" si="6"/>
        <v>1</v>
      </c>
      <c r="J56" s="41">
        <f t="shared" si="11"/>
        <v>1.7708670769895258</v>
      </c>
    </row>
    <row r="57" spans="1:10" x14ac:dyDescent="0.25">
      <c r="A57">
        <v>9</v>
      </c>
      <c r="B57" s="20">
        <v>9</v>
      </c>
      <c r="C57" s="20">
        <v>3</v>
      </c>
      <c r="D57" s="20">
        <v>1</v>
      </c>
      <c r="E57" s="6">
        <f t="shared" si="7"/>
        <v>0</v>
      </c>
      <c r="F57" s="6">
        <f t="shared" si="8"/>
        <v>1</v>
      </c>
      <c r="G57" s="6">
        <f t="shared" si="9"/>
        <v>0</v>
      </c>
      <c r="H57" s="6">
        <f t="shared" si="10"/>
        <v>0</v>
      </c>
      <c r="I57" s="36">
        <f t="shared" si="6"/>
        <v>1</v>
      </c>
      <c r="J57" s="41">
        <f t="shared" si="11"/>
        <v>1.7708670769895258</v>
      </c>
    </row>
    <row r="58" spans="1:10" x14ac:dyDescent="0.25">
      <c r="A58">
        <v>10</v>
      </c>
      <c r="B58" s="20">
        <v>10</v>
      </c>
      <c r="C58" s="20">
        <v>7</v>
      </c>
      <c r="D58" s="20">
        <v>2</v>
      </c>
      <c r="E58" s="6">
        <f t="shared" si="7"/>
        <v>0</v>
      </c>
      <c r="F58" s="6">
        <f t="shared" si="8"/>
        <v>0</v>
      </c>
      <c r="G58" s="6">
        <f t="shared" si="9"/>
        <v>0</v>
      </c>
      <c r="H58" s="6">
        <f t="shared" si="10"/>
        <v>1</v>
      </c>
      <c r="I58" s="36">
        <f t="shared" si="6"/>
        <v>1</v>
      </c>
      <c r="J58" s="41">
        <f t="shared" si="11"/>
        <v>0</v>
      </c>
    </row>
    <row r="60" spans="1:10" x14ac:dyDescent="0.25">
      <c r="E60" s="4">
        <f>SUMPRODUCT($C$49:$C$58,E49:E58)</f>
        <v>20</v>
      </c>
      <c r="F60" s="4">
        <f>SUMPRODUCT($C$49:$C$58,F49:F58)</f>
        <v>30</v>
      </c>
      <c r="G60" s="4">
        <f>SUMPRODUCT($C$49:$C$58,G49:G58)</f>
        <v>25</v>
      </c>
      <c r="J60" s="40">
        <f>SUM(J49:J58)</f>
        <v>54.57294028722599</v>
      </c>
    </row>
    <row r="61" spans="1:10" x14ac:dyDescent="0.25">
      <c r="E61" s="4">
        <v>20</v>
      </c>
      <c r="F61" s="4">
        <v>30</v>
      </c>
      <c r="G61" s="4">
        <v>25</v>
      </c>
    </row>
  </sheetData>
  <phoneticPr fontId="4" type="noConversion"/>
  <conditionalFormatting sqref="F3:F42">
    <cfRule type="cellIs" dxfId="14" priority="2" operator="equal">
      <formula>1</formula>
    </cfRule>
  </conditionalFormatting>
  <conditionalFormatting sqref="E49:H58">
    <cfRule type="cellIs" dxfId="13" priority="1" operator="equal">
      <formula>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E4D58-0A04-47E5-830C-AF5B41F90776}">
  <sheetPr codeName="Sheet3"/>
  <dimension ref="A1:AM140"/>
  <sheetViews>
    <sheetView zoomScale="85" zoomScaleNormal="85" workbookViewId="0">
      <selection activeCell="A18" sqref="A18:I29"/>
    </sheetView>
  </sheetViews>
  <sheetFormatPr defaultRowHeight="15" outlineLevelRow="1" outlineLevelCol="1" x14ac:dyDescent="0.25"/>
  <cols>
    <col min="4" max="4" width="12.28515625" bestFit="1" customWidth="1"/>
    <col min="9" max="9" width="9.140625" style="9"/>
    <col min="10" max="10" width="9.28515625" customWidth="1"/>
    <col min="11" max="15" width="9.140625" customWidth="1" outlineLevel="1"/>
    <col min="16" max="16" width="8.85546875" customWidth="1" outlineLevel="1"/>
    <col min="17" max="17" width="14.7109375" style="4" customWidth="1"/>
    <col min="18" max="18" width="15.5703125" style="4" customWidth="1"/>
    <col min="19" max="19" width="8.42578125" style="9" customWidth="1"/>
    <col min="20" max="25" width="9.140625" style="9" hidden="1" customWidth="1" outlineLevel="1"/>
    <col min="26" max="26" width="12" style="4" customWidth="1" collapsed="1"/>
    <col min="27" max="27" width="16.5703125" style="4" bestFit="1" customWidth="1"/>
    <col min="28" max="28" width="9.140625" style="9"/>
    <col min="30" max="30" width="18.7109375" style="4" customWidth="1"/>
    <col min="31" max="31" width="11.28515625" style="4" bestFit="1" customWidth="1"/>
    <col min="32" max="32" width="11.28515625" style="4" customWidth="1"/>
    <col min="33" max="33" width="8.28515625" style="4" customWidth="1"/>
    <col min="34" max="37" width="6.5703125" style="4" customWidth="1"/>
  </cols>
  <sheetData>
    <row r="1" spans="1:39" x14ac:dyDescent="0.25">
      <c r="A1" s="13"/>
      <c r="Q1" s="9" t="s">
        <v>21</v>
      </c>
      <c r="Z1" s="9" t="s">
        <v>22</v>
      </c>
      <c r="AH1" s="4" t="s">
        <v>60</v>
      </c>
    </row>
    <row r="2" spans="1:39" x14ac:dyDescent="0.25">
      <c r="B2" t="s">
        <v>0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s="9" t="s">
        <v>8</v>
      </c>
      <c r="K2" t="s">
        <v>13</v>
      </c>
      <c r="L2" t="s">
        <v>14</v>
      </c>
      <c r="M2" t="s">
        <v>15</v>
      </c>
      <c r="N2" t="s">
        <v>19</v>
      </c>
      <c r="O2" t="s">
        <v>16</v>
      </c>
      <c r="P2" t="s">
        <v>17</v>
      </c>
      <c r="Q2" s="4" t="s">
        <v>18</v>
      </c>
      <c r="R2" s="4" t="s">
        <v>23</v>
      </c>
      <c r="T2" s="9" t="s">
        <v>13</v>
      </c>
      <c r="U2" s="9" t="s">
        <v>14</v>
      </c>
      <c r="V2" s="9" t="s">
        <v>15</v>
      </c>
      <c r="W2" s="9" t="s">
        <v>19</v>
      </c>
      <c r="X2" s="9" t="s">
        <v>16</v>
      </c>
      <c r="Y2" s="9" t="s">
        <v>17</v>
      </c>
      <c r="Z2" s="4" t="s">
        <v>18</v>
      </c>
      <c r="AA2" s="4" t="s">
        <v>24</v>
      </c>
      <c r="AD2" s="10" t="s">
        <v>9</v>
      </c>
      <c r="AG2" s="4" t="s">
        <v>62</v>
      </c>
      <c r="AH2" s="4" t="s">
        <v>61</v>
      </c>
      <c r="AJ2" s="5"/>
    </row>
    <row r="3" spans="1:39" x14ac:dyDescent="0.25">
      <c r="A3">
        <v>1</v>
      </c>
      <c r="B3" s="2">
        <v>1</v>
      </c>
      <c r="C3" s="2">
        <v>5</v>
      </c>
      <c r="D3" s="2">
        <v>2</v>
      </c>
      <c r="E3" s="2">
        <v>0</v>
      </c>
      <c r="F3" s="2">
        <v>1</v>
      </c>
      <c r="G3" s="2">
        <v>0</v>
      </c>
      <c r="H3" s="2">
        <v>0</v>
      </c>
      <c r="I3" s="12">
        <f t="shared" ref="I3:I12" si="0">SUM(E3:H3)</f>
        <v>1</v>
      </c>
      <c r="K3" s="14">
        <v>0.95</v>
      </c>
      <c r="L3" s="14">
        <v>1</v>
      </c>
      <c r="M3" s="14">
        <v>1.5</v>
      </c>
      <c r="N3" s="14">
        <f>(K3+4*L3+M3)/6</f>
        <v>1.075</v>
      </c>
      <c r="O3" s="14">
        <f>((N3-K3)*(2*L3-K3-M3))/((L3-N3)*(M3-K3))</f>
        <v>1.3636363636363642</v>
      </c>
      <c r="P3" s="14">
        <f>(O3*(M3-N3))/(N3-K3)</f>
        <v>4.6363636363636385</v>
      </c>
      <c r="Q3" s="5">
        <f ca="1">_xlfn.BETA.INV(RAND(),O3,P3,K3,M3)</f>
        <v>1.1037497176852116</v>
      </c>
      <c r="R3" s="18">
        <f ca="1">Q3*C3</f>
        <v>5.5187485884260576</v>
      </c>
      <c r="T3" s="17">
        <v>0.6</v>
      </c>
      <c r="U3" s="17">
        <v>1</v>
      </c>
      <c r="V3" s="17">
        <v>1.1000000000000001</v>
      </c>
      <c r="W3" s="17">
        <f>(T3+4*U3+V3)/6</f>
        <v>0.94999999999999984</v>
      </c>
      <c r="X3" s="17">
        <f>((W3-T3)*(2*U3-T3-V3))/((U3-W3)*(V3-T3))</f>
        <v>4.1999999999999815</v>
      </c>
      <c r="Y3" s="17">
        <f>(X3*(V3-W3))/(W3-T3)</f>
        <v>1.7999999999999956</v>
      </c>
      <c r="Z3" s="5">
        <f ca="1">_xlfn.BETA.INV(RAND(),X3,Y3,T3,V3)</f>
        <v>0.96147491855795009</v>
      </c>
      <c r="AA3" s="18">
        <f ca="1">Z3*D3</f>
        <v>1.9229498371159002</v>
      </c>
      <c r="AD3" s="5">
        <f ca="1">Z3*D3*(E3*(1+1/(1+$AC$14)+1/(1+$AC$14)^2)+F3*(1/(1+$AC$14)+1/(1+$AC$14)^2)+G3*(1/(1+$AC$14)^2))</f>
        <v>3.5755529851134651</v>
      </c>
    </row>
    <row r="4" spans="1:39" x14ac:dyDescent="0.25">
      <c r="A4">
        <v>2</v>
      </c>
      <c r="B4" s="2">
        <v>2</v>
      </c>
      <c r="C4" s="2">
        <v>15</v>
      </c>
      <c r="D4" s="2">
        <v>3</v>
      </c>
      <c r="E4" s="2">
        <v>0</v>
      </c>
      <c r="F4" s="2">
        <v>0</v>
      </c>
      <c r="G4" s="2">
        <v>0</v>
      </c>
      <c r="H4" s="2">
        <v>1</v>
      </c>
      <c r="I4" s="12">
        <f t="shared" si="0"/>
        <v>1</v>
      </c>
      <c r="K4" s="14">
        <v>0.9</v>
      </c>
      <c r="L4" s="14">
        <v>1</v>
      </c>
      <c r="M4" s="14">
        <v>1.2</v>
      </c>
      <c r="N4" s="14">
        <f t="shared" ref="N4:N12" si="1">(K4+4*L4+M4)/6</f>
        <v>1.0166666666666668</v>
      </c>
      <c r="O4" s="14">
        <f t="shared" ref="O4:O12" si="2">((N4-K4)*(2*L4-K4-M4))/((L4-N4)*(M4-K4))</f>
        <v>2.3333333333333108</v>
      </c>
      <c r="P4" s="14">
        <f t="shared" ref="P4:P12" si="3">(O4*(M4-N4))/(N4-K4)</f>
        <v>3.6666666666666226</v>
      </c>
      <c r="Q4" s="5">
        <f t="shared" ref="Q4:Q12" ca="1" si="4">_xlfn.BETA.INV(RAND(),O4,P4,K4,M4)</f>
        <v>1.0312585903355216</v>
      </c>
      <c r="R4" s="18">
        <f ca="1">Q4*C4</f>
        <v>15.468878855032823</v>
      </c>
      <c r="T4" s="17">
        <v>0.8</v>
      </c>
      <c r="U4" s="17">
        <v>1</v>
      </c>
      <c r="V4" s="17">
        <v>1.1000000000000001</v>
      </c>
      <c r="W4" s="17">
        <f t="shared" ref="W4:W12" si="5">(T4+4*U4+V4)/6</f>
        <v>0.98333333333333339</v>
      </c>
      <c r="X4" s="17">
        <f t="shared" ref="X4:X12" si="6">((W4-T4)*(2*U4-T4-V4))/((U4-W4)*(V4-T4))</f>
        <v>3.6666666666666745</v>
      </c>
      <c r="Y4" s="17">
        <f t="shared" ref="Y4:Y12" si="7">(X4*(V4-W4))/(W4-T4)</f>
        <v>2.3333333333333388</v>
      </c>
      <c r="Z4" s="5">
        <f t="shared" ref="Z4:Z12" ca="1" si="8">_xlfn.BETA.INV(RAND(),X4,Y4,T4,V4)</f>
        <v>1.0454351579537413</v>
      </c>
      <c r="AA4" s="18">
        <f t="shared" ref="AA4:AA12" ca="1" si="9">Z4*D4</f>
        <v>3.1363054738612242</v>
      </c>
      <c r="AD4" s="5">
        <f ca="1">Z4*D4*(E4*(1+1/(1+$AC$14)+1/(1+$AC$14)^2)+F4*(1/(1+$AC$14)+1/(1+$AC$14)^2)+G4*(1/(1+$AC$14)^2))</f>
        <v>0</v>
      </c>
      <c r="AG4" s="5" t="e">
        <f ca="1">[1]!RiskPert(K4,L4,M4)</f>
        <v>#NAME?</v>
      </c>
      <c r="AH4" s="5" t="e">
        <f ca="1">[1]!RiskPert(K4,L4,M4,[1]!RiskCorrmat($AK$4:$AM$6,1))</f>
        <v>#NAME?</v>
      </c>
      <c r="AK4" s="4">
        <v>1</v>
      </c>
      <c r="AL4">
        <v>0.98</v>
      </c>
      <c r="AM4">
        <v>0.98</v>
      </c>
    </row>
    <row r="5" spans="1:39" x14ac:dyDescent="0.25">
      <c r="A5">
        <v>3</v>
      </c>
      <c r="B5" s="2">
        <v>3</v>
      </c>
      <c r="C5" s="2">
        <v>10</v>
      </c>
      <c r="D5" s="2">
        <v>5</v>
      </c>
      <c r="E5" s="2">
        <v>0</v>
      </c>
      <c r="F5" s="2">
        <v>1</v>
      </c>
      <c r="G5" s="2">
        <v>0</v>
      </c>
      <c r="H5" s="2">
        <v>0</v>
      </c>
      <c r="I5" s="12">
        <f t="shared" si="0"/>
        <v>1</v>
      </c>
      <c r="K5" s="14">
        <v>0.9</v>
      </c>
      <c r="L5" s="14">
        <v>1</v>
      </c>
      <c r="M5" s="14">
        <v>1.2</v>
      </c>
      <c r="N5" s="14">
        <f t="shared" si="1"/>
        <v>1.0166666666666668</v>
      </c>
      <c r="O5" s="14">
        <f t="shared" si="2"/>
        <v>2.3333333333333108</v>
      </c>
      <c r="P5" s="14">
        <f t="shared" si="3"/>
        <v>3.6666666666666226</v>
      </c>
      <c r="Q5" s="5">
        <f t="shared" ca="1" si="4"/>
        <v>0.95535204716327848</v>
      </c>
      <c r="R5" s="18">
        <f t="shared" ref="R5:R12" ca="1" si="10">Q5*C5</f>
        <v>9.5535204716327851</v>
      </c>
      <c r="T5" s="17">
        <v>0.8</v>
      </c>
      <c r="U5" s="17">
        <v>1</v>
      </c>
      <c r="V5" s="17">
        <v>1.1000000000000001</v>
      </c>
      <c r="W5" s="17">
        <f>(T5+4*U5+V5)/6</f>
        <v>0.98333333333333339</v>
      </c>
      <c r="X5" s="17">
        <f>((W5-T5)*(2*U5-T5-V5))/((U5-W5)*(V5-T5))</f>
        <v>3.6666666666666745</v>
      </c>
      <c r="Y5" s="17">
        <f>(X5*(V5-W5))/(W5-T5)</f>
        <v>2.3333333333333388</v>
      </c>
      <c r="Z5" s="5">
        <f ca="1">_xlfn.BETA.INV(RAND(),X5,Y5,T5,V5)</f>
        <v>1.0458640026808252</v>
      </c>
      <c r="AA5" s="18">
        <f ca="1">Z5*D5</f>
        <v>5.2293200134041262</v>
      </c>
      <c r="AD5" s="5">
        <f ca="1">Z5*D5*(E5*(1+1/(1+$AC$14)+1/(1+$AC$14)^2)+F5*(1/(1+$AC$14)+1/(1+$AC$14)^2)+G5*(1/(1+$AC$14)^2))</f>
        <v>9.7234521791187838</v>
      </c>
      <c r="AG5" s="5" t="e">
        <f ca="1">[1]!RiskPert(K5,L5,M5)</f>
        <v>#NAME?</v>
      </c>
      <c r="AH5" s="5" t="e">
        <f ca="1">[1]!RiskPert(K5,L5,M5,[1]!RiskCorrmat($AK$4:$AM$6,2))</f>
        <v>#NAME?</v>
      </c>
      <c r="AK5" s="4">
        <v>0.98</v>
      </c>
      <c r="AL5">
        <v>1</v>
      </c>
      <c r="AM5">
        <v>0.98</v>
      </c>
    </row>
    <row r="6" spans="1:39" x14ac:dyDescent="0.25">
      <c r="A6">
        <v>4</v>
      </c>
      <c r="B6" s="2">
        <v>4</v>
      </c>
      <c r="C6" s="2">
        <v>5</v>
      </c>
      <c r="D6" s="2">
        <v>2</v>
      </c>
      <c r="E6" s="2">
        <v>0</v>
      </c>
      <c r="F6" s="2">
        <v>0</v>
      </c>
      <c r="G6" s="2">
        <v>1</v>
      </c>
      <c r="H6" s="2">
        <v>0</v>
      </c>
      <c r="I6" s="12">
        <f t="shared" si="0"/>
        <v>1</v>
      </c>
      <c r="K6" s="14">
        <v>0.9</v>
      </c>
      <c r="L6" s="14">
        <v>1</v>
      </c>
      <c r="M6" s="14">
        <v>1.2</v>
      </c>
      <c r="N6" s="14">
        <f t="shared" si="1"/>
        <v>1.0166666666666668</v>
      </c>
      <c r="O6" s="14">
        <f t="shared" si="2"/>
        <v>2.3333333333333108</v>
      </c>
      <c r="P6" s="14">
        <f t="shared" si="3"/>
        <v>3.6666666666666226</v>
      </c>
      <c r="Q6" s="5">
        <f t="shared" ca="1" si="4"/>
        <v>1.0519860712958584</v>
      </c>
      <c r="R6" s="18">
        <f t="shared" ca="1" si="10"/>
        <v>5.2599303564792921</v>
      </c>
      <c r="T6" s="17">
        <v>0.8</v>
      </c>
      <c r="U6" s="17">
        <v>1</v>
      </c>
      <c r="V6" s="17">
        <v>1.1000000000000001</v>
      </c>
      <c r="W6" s="17">
        <f>(T6+4*U6+V6)/6</f>
        <v>0.98333333333333339</v>
      </c>
      <c r="X6" s="17">
        <f>((W6-T6)*(2*U6-T6-V6))/((U6-W6)*(V6-T6))</f>
        <v>3.6666666666666745</v>
      </c>
      <c r="Y6" s="17">
        <f>(X6*(V6-W6))/(W6-T6)</f>
        <v>2.3333333333333388</v>
      </c>
      <c r="Z6" s="5">
        <f ca="1">_xlfn.BETA.INV(RAND(),X6,Y6,T6,V6)</f>
        <v>1.0592243500042682</v>
      </c>
      <c r="AA6" s="18">
        <f ca="1">Z6*D6</f>
        <v>2.1184487000085364</v>
      </c>
      <c r="AD6" s="5">
        <f ca="1">Z6*D6*(E6*(1+1/(1+$AC$14)+1/(1+$AC$14)^2)+F6*(1/(1+$AC$14)+1/(1+$AC$14)^2)+G6*(1/(1+$AC$14)^2))</f>
        <v>1.9214954195088765</v>
      </c>
      <c r="AG6" s="5" t="e">
        <f ca="1">[1]!RiskPert(K6,L6,M6)</f>
        <v>#NAME?</v>
      </c>
      <c r="AH6" s="5" t="e">
        <f ca="1">[1]!RiskPert(K6,L6,M6,[1]!RiskCorrmat($AK$4:$AM$6,3))</f>
        <v>#NAME?</v>
      </c>
      <c r="AK6" s="4">
        <v>0.98</v>
      </c>
      <c r="AL6">
        <v>0.98</v>
      </c>
      <c r="AM6">
        <v>1</v>
      </c>
    </row>
    <row r="7" spans="1:39" x14ac:dyDescent="0.25">
      <c r="A7">
        <v>5</v>
      </c>
      <c r="B7" s="2">
        <v>5</v>
      </c>
      <c r="C7" s="2">
        <v>10</v>
      </c>
      <c r="D7" s="2">
        <v>4</v>
      </c>
      <c r="E7" s="2">
        <v>0</v>
      </c>
      <c r="F7" s="2">
        <v>1</v>
      </c>
      <c r="G7" s="2">
        <v>0</v>
      </c>
      <c r="H7" s="2">
        <v>0</v>
      </c>
      <c r="I7" s="12">
        <f t="shared" si="0"/>
        <v>1</v>
      </c>
      <c r="K7" s="14">
        <v>0.9</v>
      </c>
      <c r="L7" s="14">
        <v>1</v>
      </c>
      <c r="M7" s="14">
        <v>1.2</v>
      </c>
      <c r="N7" s="14">
        <f t="shared" si="1"/>
        <v>1.0166666666666668</v>
      </c>
      <c r="O7" s="14">
        <f t="shared" si="2"/>
        <v>2.3333333333333108</v>
      </c>
      <c r="P7" s="14">
        <f t="shared" si="3"/>
        <v>3.6666666666666226</v>
      </c>
      <c r="Q7" s="5">
        <f t="shared" ca="1" si="4"/>
        <v>1.0055786600404459</v>
      </c>
      <c r="R7" s="18">
        <f t="shared" ca="1" si="10"/>
        <v>10.05578660040446</v>
      </c>
      <c r="T7" s="17">
        <v>0.8</v>
      </c>
      <c r="U7" s="17">
        <v>1</v>
      </c>
      <c r="V7" s="17">
        <v>1.1000000000000001</v>
      </c>
      <c r="W7" s="17">
        <f>(T7+4*U7+V7)/6</f>
        <v>0.98333333333333339</v>
      </c>
      <c r="X7" s="17">
        <f>((W7-T7)*(2*U7-T7-V7))/((U7-W7)*(V7-T7))</f>
        <v>3.6666666666666745</v>
      </c>
      <c r="Y7" s="17">
        <f>(X7*(V7-W7))/(W7-T7)</f>
        <v>2.3333333333333388</v>
      </c>
      <c r="Z7" s="5">
        <f ca="1">_xlfn.BETA.INV(RAND(),X7,Y7,T7,V7)</f>
        <v>1.0306974011761501</v>
      </c>
      <c r="AA7" s="18">
        <f ca="1">Z7*D7</f>
        <v>4.1227896047046002</v>
      </c>
      <c r="AD7" s="5">
        <f ca="1">Z7*D7*(E7*(1+1/(1+$AC$14)+1/(1+$AC$14)^2)+F7*(1/(1+$AC$14)+1/(1+$AC$14)^2)+G7*(1/(1+$AC$14)^2))</f>
        <v>7.6659579951423407</v>
      </c>
    </row>
    <row r="8" spans="1:39" x14ac:dyDescent="0.25">
      <c r="A8">
        <v>6</v>
      </c>
      <c r="B8" s="3">
        <v>6</v>
      </c>
      <c r="C8" s="3">
        <v>15</v>
      </c>
      <c r="D8" s="3">
        <v>8</v>
      </c>
      <c r="E8" s="2">
        <v>1</v>
      </c>
      <c r="F8" s="2">
        <v>0</v>
      </c>
      <c r="G8" s="2">
        <v>0</v>
      </c>
      <c r="H8" s="2">
        <v>0</v>
      </c>
      <c r="I8" s="12">
        <f t="shared" si="0"/>
        <v>1</v>
      </c>
      <c r="K8" s="14">
        <v>0.8</v>
      </c>
      <c r="L8" s="14">
        <v>1</v>
      </c>
      <c r="M8" s="14">
        <v>1.7</v>
      </c>
      <c r="N8" s="14">
        <f t="shared" si="1"/>
        <v>1.0833333333333333</v>
      </c>
      <c r="O8" s="14">
        <f t="shared" si="2"/>
        <v>1.8888888888888899</v>
      </c>
      <c r="P8" s="14">
        <f t="shared" si="3"/>
        <v>4.111111111111116</v>
      </c>
      <c r="Q8" s="5">
        <f t="shared" ca="1" si="4"/>
        <v>0.84572661381980641</v>
      </c>
      <c r="R8" s="18">
        <f t="shared" ca="1" si="10"/>
        <v>12.685899207297096</v>
      </c>
      <c r="T8" s="17">
        <v>0.8</v>
      </c>
      <c r="U8" s="17">
        <v>1</v>
      </c>
      <c r="V8" s="17">
        <v>1.1000000000000001</v>
      </c>
      <c r="W8" s="17">
        <f>(T8+4*U8+V8)/6</f>
        <v>0.98333333333333339</v>
      </c>
      <c r="X8" s="17">
        <f>((W8-T8)*(2*U8-T8-V8))/((U8-W8)*(V8-T8))</f>
        <v>3.6666666666666745</v>
      </c>
      <c r="Y8" s="17">
        <f>(X8*(V8-W8))/(W8-T8)</f>
        <v>2.3333333333333388</v>
      </c>
      <c r="Z8" s="5">
        <f ca="1">_xlfn.BETA.INV(RAND(),X8,Y8,T8,V8)</f>
        <v>0.90518413302344425</v>
      </c>
      <c r="AA8" s="18">
        <f ca="1">Z8*D8</f>
        <v>7.241473064187554</v>
      </c>
      <c r="AD8" s="5">
        <f t="shared" ref="AD8:AD12" ca="1" si="11">Z8*D8*(E8*(1+1/(1+$AC$14)+1/(1+$AC$14)^2)+F8*(1/(1+$AC$14)+1/(1+$AC$14)^2)+G8*(1/(1+$AC$14)^2))</f>
        <v>20.706343614377563</v>
      </c>
    </row>
    <row r="9" spans="1:39" x14ac:dyDescent="0.25">
      <c r="A9">
        <v>7</v>
      </c>
      <c r="B9" s="3">
        <v>7</v>
      </c>
      <c r="C9" s="3">
        <v>10</v>
      </c>
      <c r="D9" s="3">
        <v>2</v>
      </c>
      <c r="E9" s="2">
        <v>0</v>
      </c>
      <c r="F9" s="2">
        <v>0</v>
      </c>
      <c r="G9" s="2">
        <v>1</v>
      </c>
      <c r="H9" s="2">
        <v>0</v>
      </c>
      <c r="I9" s="12">
        <f t="shared" si="0"/>
        <v>1</v>
      </c>
      <c r="K9" s="14">
        <v>0.9</v>
      </c>
      <c r="L9" s="14">
        <v>1</v>
      </c>
      <c r="M9" s="14">
        <v>1.2</v>
      </c>
      <c r="N9" s="14">
        <f t="shared" si="1"/>
        <v>1.0166666666666668</v>
      </c>
      <c r="O9" s="14">
        <f t="shared" si="2"/>
        <v>2.3333333333333108</v>
      </c>
      <c r="P9" s="14">
        <f t="shared" si="3"/>
        <v>3.6666666666666226</v>
      </c>
      <c r="Q9" s="5">
        <f t="shared" ca="1" si="4"/>
        <v>1.0205925427636733</v>
      </c>
      <c r="R9" s="18">
        <f t="shared" ca="1" si="10"/>
        <v>10.205925427636732</v>
      </c>
      <c r="T9" s="17">
        <v>0.85</v>
      </c>
      <c r="U9" s="17">
        <v>1</v>
      </c>
      <c r="V9" s="17">
        <v>1.1000000000000001</v>
      </c>
      <c r="W9" s="17">
        <f t="shared" si="5"/>
        <v>0.99166666666666659</v>
      </c>
      <c r="X9" s="17">
        <f t="shared" si="6"/>
        <v>3.3999999999999519</v>
      </c>
      <c r="Y9" s="17">
        <f t="shared" si="7"/>
        <v>2.5999999999999681</v>
      </c>
      <c r="Z9" s="5">
        <f t="shared" ca="1" si="8"/>
        <v>0.97667123800430045</v>
      </c>
      <c r="AA9" s="18">
        <f t="shared" ca="1" si="9"/>
        <v>1.9533424760086009</v>
      </c>
      <c r="AD9" s="5">
        <f t="shared" ca="1" si="11"/>
        <v>1.771739207264037</v>
      </c>
    </row>
    <row r="10" spans="1:39" x14ac:dyDescent="0.25">
      <c r="A10">
        <v>8</v>
      </c>
      <c r="B10" s="3">
        <v>8</v>
      </c>
      <c r="C10" s="3">
        <v>2</v>
      </c>
      <c r="D10" s="3">
        <v>1</v>
      </c>
      <c r="E10" s="2">
        <v>0</v>
      </c>
      <c r="F10" s="2">
        <v>1</v>
      </c>
      <c r="G10" s="2">
        <v>0</v>
      </c>
      <c r="H10" s="2">
        <v>0</v>
      </c>
      <c r="I10" s="12">
        <f t="shared" si="0"/>
        <v>1</v>
      </c>
      <c r="K10" s="14">
        <v>0.9</v>
      </c>
      <c r="L10" s="14">
        <v>1</v>
      </c>
      <c r="M10" s="14">
        <v>1.2</v>
      </c>
      <c r="N10" s="14">
        <f t="shared" si="1"/>
        <v>1.0166666666666668</v>
      </c>
      <c r="O10" s="14">
        <f t="shared" si="2"/>
        <v>2.3333333333333108</v>
      </c>
      <c r="P10" s="14">
        <f t="shared" si="3"/>
        <v>3.6666666666666226</v>
      </c>
      <c r="Q10" s="5">
        <f t="shared" ca="1" si="4"/>
        <v>1.0968926775999366</v>
      </c>
      <c r="R10" s="18">
        <f t="shared" ca="1" si="10"/>
        <v>2.1937853551998732</v>
      </c>
      <c r="T10" s="17">
        <v>0.85</v>
      </c>
      <c r="U10" s="17">
        <v>1</v>
      </c>
      <c r="V10" s="17">
        <v>1.1000000000000001</v>
      </c>
      <c r="W10" s="17">
        <f t="shared" si="5"/>
        <v>0.99166666666666659</v>
      </c>
      <c r="X10" s="17">
        <f t="shared" si="6"/>
        <v>3.3999999999999519</v>
      </c>
      <c r="Y10" s="17">
        <f t="shared" si="7"/>
        <v>2.5999999999999681</v>
      </c>
      <c r="Z10" s="5">
        <f t="shared" ca="1" si="8"/>
        <v>1.0633552535424977</v>
      </c>
      <c r="AA10" s="18">
        <f t="shared" ca="1" si="9"/>
        <v>1.0633552535424977</v>
      </c>
      <c r="AD10" s="5">
        <f t="shared" ca="1" si="11"/>
        <v>1.9772138501243721</v>
      </c>
    </row>
    <row r="11" spans="1:39" x14ac:dyDescent="0.25">
      <c r="A11">
        <v>9</v>
      </c>
      <c r="B11" s="3">
        <v>9</v>
      </c>
      <c r="C11" s="3">
        <v>3</v>
      </c>
      <c r="D11" s="3">
        <v>1</v>
      </c>
      <c r="E11" s="2">
        <v>1</v>
      </c>
      <c r="F11" s="2">
        <v>0</v>
      </c>
      <c r="G11" s="2">
        <v>0</v>
      </c>
      <c r="H11" s="2">
        <v>0</v>
      </c>
      <c r="I11" s="12">
        <f t="shared" si="0"/>
        <v>1</v>
      </c>
      <c r="K11" s="14">
        <v>0.9</v>
      </c>
      <c r="L11" s="14">
        <v>1</v>
      </c>
      <c r="M11" s="14">
        <v>1.2</v>
      </c>
      <c r="N11" s="14">
        <f t="shared" si="1"/>
        <v>1.0166666666666668</v>
      </c>
      <c r="O11" s="14">
        <f t="shared" si="2"/>
        <v>2.3333333333333108</v>
      </c>
      <c r="P11" s="14">
        <f t="shared" si="3"/>
        <v>3.6666666666666226</v>
      </c>
      <c r="Q11" s="5">
        <f t="shared" ca="1" si="4"/>
        <v>1.0699573561055042</v>
      </c>
      <c r="R11" s="18">
        <f t="shared" ca="1" si="10"/>
        <v>3.2098720683165127</v>
      </c>
      <c r="T11" s="17">
        <v>0.95</v>
      </c>
      <c r="U11" s="17">
        <v>1</v>
      </c>
      <c r="V11" s="17">
        <v>1.1000000000000001</v>
      </c>
      <c r="W11" s="17">
        <f t="shared" si="5"/>
        <v>1.0083333333333335</v>
      </c>
      <c r="X11" s="17">
        <f t="shared" si="6"/>
        <v>2.3333333333332891</v>
      </c>
      <c r="Y11" s="17">
        <f t="shared" si="7"/>
        <v>3.6666666666665777</v>
      </c>
      <c r="Z11" s="5">
        <f t="shared" ca="1" si="8"/>
        <v>0.99297137999980478</v>
      </c>
      <c r="AA11" s="18">
        <f t="shared" ca="1" si="9"/>
        <v>0.99297137999980478</v>
      </c>
      <c r="AD11" s="5">
        <f t="shared" ca="1" si="11"/>
        <v>2.8393127214960403</v>
      </c>
    </row>
    <row r="12" spans="1:39" x14ac:dyDescent="0.25">
      <c r="A12">
        <v>10</v>
      </c>
      <c r="B12" s="3">
        <v>10</v>
      </c>
      <c r="C12" s="3">
        <v>7</v>
      </c>
      <c r="D12" s="3">
        <v>2</v>
      </c>
      <c r="E12" s="2">
        <v>0</v>
      </c>
      <c r="F12" s="2">
        <v>0</v>
      </c>
      <c r="G12" s="2">
        <v>1</v>
      </c>
      <c r="H12" s="2">
        <v>0</v>
      </c>
      <c r="I12" s="12">
        <f t="shared" si="0"/>
        <v>1</v>
      </c>
      <c r="K12" s="14">
        <v>0.9</v>
      </c>
      <c r="L12" s="14">
        <v>1</v>
      </c>
      <c r="M12" s="14">
        <v>1.2</v>
      </c>
      <c r="N12" s="14">
        <f t="shared" si="1"/>
        <v>1.0166666666666668</v>
      </c>
      <c r="O12" s="14">
        <f t="shared" si="2"/>
        <v>2.3333333333333108</v>
      </c>
      <c r="P12" s="14">
        <f t="shared" si="3"/>
        <v>3.6666666666666226</v>
      </c>
      <c r="Q12" s="5">
        <f t="shared" ca="1" si="4"/>
        <v>1.0777074567787719</v>
      </c>
      <c r="R12" s="18">
        <f t="shared" ca="1" si="10"/>
        <v>7.5439521974514037</v>
      </c>
      <c r="T12" s="17">
        <v>0.95</v>
      </c>
      <c r="U12" s="17">
        <v>1</v>
      </c>
      <c r="V12" s="17">
        <v>1.1000000000000001</v>
      </c>
      <c r="W12" s="17">
        <f t="shared" si="5"/>
        <v>1.0083333333333335</v>
      </c>
      <c r="X12" s="17">
        <f t="shared" si="6"/>
        <v>2.3333333333332891</v>
      </c>
      <c r="Y12" s="17">
        <f t="shared" si="7"/>
        <v>3.6666666666665777</v>
      </c>
      <c r="Z12" s="5">
        <f t="shared" ca="1" si="8"/>
        <v>0.95753643096968533</v>
      </c>
      <c r="AA12" s="18">
        <f t="shared" ca="1" si="9"/>
        <v>1.9150728619393707</v>
      </c>
      <c r="AD12" s="5">
        <f t="shared" ca="1" si="11"/>
        <v>1.7370275391740322</v>
      </c>
    </row>
    <row r="13" spans="1:39" x14ac:dyDescent="0.25">
      <c r="E13" s="1"/>
      <c r="F13" s="1"/>
      <c r="G13" s="1"/>
      <c r="R13" s="18"/>
    </row>
    <row r="14" spans="1:39" ht="15.75" x14ac:dyDescent="0.25">
      <c r="B14" s="16" t="s">
        <v>20</v>
      </c>
      <c r="C14" s="15">
        <f>SUM(C3:C12)</f>
        <v>82</v>
      </c>
      <c r="E14" s="15">
        <f ca="1">SUMPRODUCT($C$3:$C$12,Q3:Q12,E3:E12)</f>
        <v>15.895771275613608</v>
      </c>
      <c r="F14" s="15">
        <f ca="1">SUMPRODUCT($C$3:$C$12,Q3:Q12,F3:F12)</f>
        <v>27.321841015663175</v>
      </c>
      <c r="G14" s="15">
        <f ca="1">SUMPRODUCT($C$3:$C$12,Q3:Q12,G3:G12)</f>
        <v>23.009807981567427</v>
      </c>
      <c r="H14" s="15">
        <f ca="1">SUMPRODUCT($C$3:$C$12,Q3:Q12,H3:H12)</f>
        <v>15.468878855032823</v>
      </c>
      <c r="Q14" s="4" t="s">
        <v>25</v>
      </c>
      <c r="R14" s="18">
        <f ca="1">SUM(R3:R12)</f>
        <v>81.69629912787704</v>
      </c>
      <c r="AC14" s="8">
        <v>0.05</v>
      </c>
      <c r="AD14" s="7">
        <f ca="1">SUM(AD3:AD12)</f>
        <v>51.9180955113195</v>
      </c>
    </row>
    <row r="15" spans="1:39" x14ac:dyDescent="0.25">
      <c r="E15">
        <v>20</v>
      </c>
      <c r="F15">
        <v>30</v>
      </c>
      <c r="G15">
        <v>25</v>
      </c>
      <c r="AC15" s="9" t="s">
        <v>10</v>
      </c>
    </row>
    <row r="17" spans="1:31" x14ac:dyDescent="0.25">
      <c r="E17" s="4" t="str">
        <f ca="1">IF(E14&gt;E15,"Exceeded","OK")</f>
        <v>OK</v>
      </c>
      <c r="F17" s="4" t="str">
        <f ca="1">IF(F14&gt;F15,"Exceeded","OK")</f>
        <v>OK</v>
      </c>
      <c r="G17" s="4" t="str">
        <f ca="1">IF(G14&gt;G15,"Exceeded","OK")</f>
        <v>OK</v>
      </c>
    </row>
    <row r="18" spans="1:31" x14ac:dyDescent="0.25">
      <c r="A18" t="s">
        <v>33</v>
      </c>
      <c r="I18"/>
    </row>
    <row r="19" spans="1:31" outlineLevel="1" x14ac:dyDescent="0.25">
      <c r="B19" t="s">
        <v>0</v>
      </c>
      <c r="C19" t="s">
        <v>2</v>
      </c>
      <c r="D19" t="s">
        <v>3</v>
      </c>
      <c r="E19" t="s">
        <v>4</v>
      </c>
      <c r="F19" t="s">
        <v>5</v>
      </c>
      <c r="G19" t="s">
        <v>6</v>
      </c>
      <c r="H19" t="s">
        <v>7</v>
      </c>
      <c r="I19" s="9" t="s">
        <v>8</v>
      </c>
      <c r="AD19" s="10" t="s">
        <v>9</v>
      </c>
      <c r="AE19" s="4" t="s">
        <v>55</v>
      </c>
    </row>
    <row r="20" spans="1:31" outlineLevel="1" x14ac:dyDescent="0.25">
      <c r="A20">
        <v>1</v>
      </c>
      <c r="B20" s="2">
        <v>1</v>
      </c>
      <c r="C20" s="19">
        <v>5.7681259119741579</v>
      </c>
      <c r="D20" s="19">
        <v>1.9433189727512192</v>
      </c>
      <c r="E20" s="2">
        <v>0</v>
      </c>
      <c r="F20" s="2">
        <v>0</v>
      </c>
      <c r="G20" s="2">
        <v>1</v>
      </c>
      <c r="H20" s="2">
        <v>0</v>
      </c>
      <c r="I20" s="12">
        <f t="shared" ref="I20:I29" si="12">SUM(E20:H20)</f>
        <v>1</v>
      </c>
      <c r="AD20" s="5">
        <f>D20*(E20*(1+1/(1+$AC$14)+1/(1+$AC$14)^2)+F20*(1/(1+$AC$14)+1/(1+$AC$14)^2)+G20*(1/(1+$AC$14)^2))</f>
        <v>1.7626475943321716</v>
      </c>
      <c r="AE20" s="4">
        <f>IF(E20=1,1,IF(F20=1,2,IF(G20=1,3,4)))</f>
        <v>3</v>
      </c>
    </row>
    <row r="21" spans="1:31" outlineLevel="1" x14ac:dyDescent="0.25">
      <c r="A21">
        <v>2</v>
      </c>
      <c r="B21" s="2">
        <v>2</v>
      </c>
      <c r="C21" s="19">
        <v>15.103088624024235</v>
      </c>
      <c r="D21" s="19">
        <v>2.802482321946961</v>
      </c>
      <c r="E21" s="2">
        <v>0</v>
      </c>
      <c r="F21" s="2">
        <v>0</v>
      </c>
      <c r="G21" s="2">
        <v>0</v>
      </c>
      <c r="H21" s="2">
        <v>1</v>
      </c>
      <c r="I21" s="12">
        <f t="shared" si="12"/>
        <v>1</v>
      </c>
      <c r="AD21" s="5">
        <f t="shared" ref="AD21:AD29" si="13">D21*(E21*(1+1/(1+$AC$14)+1/(1+$AC$14)^2)+F21*(1/(1+$AC$14)+1/(1+$AC$14)^2)+G21*(1/(1+$AC$14)^2))</f>
        <v>0</v>
      </c>
      <c r="AE21" s="4">
        <f t="shared" ref="AE21:AE29" si="14">IF(E21=1,1,IF(F21=1,2,IF(G21=1,3,4)))</f>
        <v>4</v>
      </c>
    </row>
    <row r="22" spans="1:31" outlineLevel="1" x14ac:dyDescent="0.25">
      <c r="A22">
        <v>3</v>
      </c>
      <c r="B22" s="2">
        <v>3</v>
      </c>
      <c r="C22" s="19">
        <v>10.024772886277995</v>
      </c>
      <c r="D22" s="19">
        <v>4.7662596696856525</v>
      </c>
      <c r="E22" s="2">
        <v>0</v>
      </c>
      <c r="F22" s="2">
        <v>1</v>
      </c>
      <c r="G22" s="2">
        <v>0</v>
      </c>
      <c r="H22" s="2">
        <v>0</v>
      </c>
      <c r="I22" s="12">
        <f t="shared" si="12"/>
        <v>1</v>
      </c>
      <c r="AD22" s="5">
        <f t="shared" si="13"/>
        <v>8.8624329459007605</v>
      </c>
      <c r="AE22" s="4">
        <f t="shared" si="14"/>
        <v>2</v>
      </c>
    </row>
    <row r="23" spans="1:31" outlineLevel="1" x14ac:dyDescent="0.25">
      <c r="A23">
        <v>4</v>
      </c>
      <c r="B23" s="2">
        <v>4</v>
      </c>
      <c r="C23" s="19">
        <v>5.6137637067991486</v>
      </c>
      <c r="D23" s="19">
        <v>2.0180432746769466</v>
      </c>
      <c r="E23" s="2">
        <v>0</v>
      </c>
      <c r="F23" s="2">
        <v>0</v>
      </c>
      <c r="G23" s="2">
        <v>1</v>
      </c>
      <c r="H23" s="2">
        <v>0</v>
      </c>
      <c r="I23" s="12">
        <f t="shared" si="12"/>
        <v>1</v>
      </c>
      <c r="AD23" s="5">
        <f t="shared" si="13"/>
        <v>1.8304247389360058</v>
      </c>
      <c r="AE23" s="4">
        <f t="shared" si="14"/>
        <v>3</v>
      </c>
    </row>
    <row r="24" spans="1:31" outlineLevel="1" x14ac:dyDescent="0.25">
      <c r="A24">
        <v>5</v>
      </c>
      <c r="B24" s="2">
        <v>5</v>
      </c>
      <c r="C24" s="19">
        <v>10.469552163354582</v>
      </c>
      <c r="D24" s="19">
        <v>4.2819240878980498</v>
      </c>
      <c r="E24" s="2">
        <v>0</v>
      </c>
      <c r="F24" s="2">
        <v>1</v>
      </c>
      <c r="G24" s="2">
        <v>0</v>
      </c>
      <c r="H24" s="2">
        <v>0</v>
      </c>
      <c r="I24" s="12">
        <f t="shared" si="12"/>
        <v>1</v>
      </c>
      <c r="AD24" s="5">
        <f t="shared" si="13"/>
        <v>7.9618543130984145</v>
      </c>
      <c r="AE24" s="4">
        <f t="shared" si="14"/>
        <v>2</v>
      </c>
    </row>
    <row r="25" spans="1:31" outlineLevel="1" x14ac:dyDescent="0.25">
      <c r="A25">
        <v>6</v>
      </c>
      <c r="B25" s="3">
        <v>6</v>
      </c>
      <c r="C25" s="19">
        <v>19.282455167958648</v>
      </c>
      <c r="D25" s="19">
        <v>7.9598679145659146</v>
      </c>
      <c r="E25" s="2">
        <v>1</v>
      </c>
      <c r="F25" s="2">
        <v>0</v>
      </c>
      <c r="G25" s="2">
        <v>0</v>
      </c>
      <c r="H25" s="2">
        <v>0</v>
      </c>
      <c r="I25" s="12">
        <f t="shared" si="12"/>
        <v>1</v>
      </c>
      <c r="AD25" s="5">
        <f t="shared" si="13"/>
        <v>22.760529343010472</v>
      </c>
      <c r="AE25" s="4">
        <f t="shared" si="14"/>
        <v>1</v>
      </c>
    </row>
    <row r="26" spans="1:31" outlineLevel="1" x14ac:dyDescent="0.25">
      <c r="A26">
        <v>7</v>
      </c>
      <c r="B26" s="3">
        <v>7</v>
      </c>
      <c r="C26" s="19">
        <v>10.115470026589101</v>
      </c>
      <c r="D26" s="19">
        <v>1.9940805156728016</v>
      </c>
      <c r="E26" s="2">
        <v>0</v>
      </c>
      <c r="F26" s="2">
        <v>0</v>
      </c>
      <c r="G26" s="2">
        <v>1</v>
      </c>
      <c r="H26" s="2">
        <v>0</v>
      </c>
      <c r="I26" s="12">
        <f t="shared" si="12"/>
        <v>1</v>
      </c>
      <c r="AD26" s="5">
        <f t="shared" si="13"/>
        <v>1.8086898101340603</v>
      </c>
      <c r="AE26" s="4">
        <f t="shared" si="14"/>
        <v>3</v>
      </c>
    </row>
    <row r="27" spans="1:31" outlineLevel="1" x14ac:dyDescent="0.25">
      <c r="A27">
        <v>8</v>
      </c>
      <c r="B27" s="3">
        <v>8</v>
      </c>
      <c r="C27" s="19">
        <v>2.0173641694158633</v>
      </c>
      <c r="D27" s="19">
        <v>0.87795057958128953</v>
      </c>
      <c r="E27" s="2">
        <v>0</v>
      </c>
      <c r="F27" s="2">
        <v>1</v>
      </c>
      <c r="G27" s="2">
        <v>0</v>
      </c>
      <c r="H27" s="2">
        <v>0</v>
      </c>
      <c r="I27" s="12">
        <f t="shared" si="12"/>
        <v>1</v>
      </c>
      <c r="AD27" s="5">
        <f t="shared" si="13"/>
        <v>1.6324704654345974</v>
      </c>
      <c r="AE27" s="4">
        <f t="shared" si="14"/>
        <v>2</v>
      </c>
    </row>
    <row r="28" spans="1:31" outlineLevel="1" x14ac:dyDescent="0.25">
      <c r="A28">
        <v>9</v>
      </c>
      <c r="B28" s="3">
        <v>9</v>
      </c>
      <c r="C28" s="19">
        <v>2.8054509276160227</v>
      </c>
      <c r="D28" s="19">
        <v>1.0588836745556895</v>
      </c>
      <c r="E28" s="2">
        <v>0</v>
      </c>
      <c r="F28" s="2">
        <v>0</v>
      </c>
      <c r="G28" s="2">
        <v>1</v>
      </c>
      <c r="H28" s="2">
        <v>0</v>
      </c>
      <c r="I28" s="12">
        <f t="shared" si="12"/>
        <v>1</v>
      </c>
      <c r="AD28" s="5">
        <f t="shared" si="13"/>
        <v>0.96043870707999046</v>
      </c>
      <c r="AE28" s="4">
        <f t="shared" si="14"/>
        <v>3</v>
      </c>
    </row>
    <row r="29" spans="1:31" outlineLevel="1" x14ac:dyDescent="0.25">
      <c r="A29">
        <v>10</v>
      </c>
      <c r="B29" s="3">
        <v>10</v>
      </c>
      <c r="C29" s="19">
        <v>7.3605135567861222</v>
      </c>
      <c r="D29" s="19">
        <v>1.9483875914405568</v>
      </c>
      <c r="E29" s="2">
        <v>0</v>
      </c>
      <c r="F29" s="2">
        <v>1</v>
      </c>
      <c r="G29" s="2">
        <v>0</v>
      </c>
      <c r="H29" s="2">
        <v>0</v>
      </c>
      <c r="I29" s="12">
        <f t="shared" si="12"/>
        <v>1</v>
      </c>
      <c r="AD29" s="5">
        <f t="shared" si="13"/>
        <v>3.6228522108418515</v>
      </c>
      <c r="AE29" s="4">
        <f t="shared" si="14"/>
        <v>2</v>
      </c>
    </row>
    <row r="30" spans="1:31" outlineLevel="1" x14ac:dyDescent="0.25">
      <c r="E30" s="1"/>
      <c r="F30" s="1"/>
      <c r="G30" s="1"/>
    </row>
    <row r="31" spans="1:31" ht="15.75" outlineLevel="1" x14ac:dyDescent="0.25">
      <c r="B31" s="16" t="s">
        <v>20</v>
      </c>
      <c r="C31" s="15">
        <f>SUM(C20:C29)</f>
        <v>88.560557140795851</v>
      </c>
      <c r="E31" s="15">
        <f>SUMPRODUCT($C$20:$C$29,E20:E29)</f>
        <v>19.282455167958648</v>
      </c>
      <c r="F31" s="15">
        <f>SUMPRODUCT($C$20:$C$29,F20:F29)</f>
        <v>29.872202775834566</v>
      </c>
      <c r="G31" s="15">
        <f>SUMPRODUCT($C$20:$C$29,G20:G29)</f>
        <v>24.30281057297843</v>
      </c>
      <c r="H31" s="15">
        <f>SUMPRODUCT($C$20:$C$29,H20:H29)</f>
        <v>15.103088624024235</v>
      </c>
      <c r="AD31" s="7">
        <f>SUM(AD20:AD29)</f>
        <v>51.20234012876832</v>
      </c>
      <c r="AE31" s="4" t="str">
        <f>AE20&amp;AE21&amp;AE22&amp;AE23&amp;AE24&amp;AE25&amp;AE26&amp;AE27&amp;AE28&amp;AE29</f>
        <v>3423213232</v>
      </c>
    </row>
    <row r="32" spans="1:31" outlineLevel="1" x14ac:dyDescent="0.25">
      <c r="E32">
        <v>20</v>
      </c>
      <c r="F32">
        <v>30</v>
      </c>
      <c r="G32">
        <v>25</v>
      </c>
    </row>
    <row r="33" spans="5:38" outlineLevel="1" x14ac:dyDescent="0.25"/>
    <row r="34" spans="5:38" outlineLevel="1" x14ac:dyDescent="0.25">
      <c r="E34" s="4" t="str">
        <f>IF(E31&gt;E32,"Exceeded","OK")</f>
        <v>OK</v>
      </c>
      <c r="F34" s="4" t="str">
        <f>IF(F31&gt;F32,"Exceeded","OK")</f>
        <v>OK</v>
      </c>
      <c r="G34" s="4" t="str">
        <f>IF(G31&gt;G32,"Exceeded","OK")</f>
        <v>OK</v>
      </c>
    </row>
    <row r="35" spans="5:38" outlineLevel="1" x14ac:dyDescent="0.25">
      <c r="I35"/>
    </row>
    <row r="36" spans="5:38" outlineLevel="1" x14ac:dyDescent="0.25">
      <c r="I36"/>
    </row>
    <row r="37" spans="5:38" outlineLevel="1" x14ac:dyDescent="0.25">
      <c r="I37"/>
    </row>
    <row r="38" spans="5:38" outlineLevel="1" x14ac:dyDescent="0.25">
      <c r="I38"/>
      <c r="Q38"/>
      <c r="R38"/>
      <c r="S38"/>
      <c r="T38"/>
      <c r="U38"/>
      <c r="V38"/>
      <c r="W38"/>
      <c r="X38"/>
      <c r="Y38"/>
      <c r="Z38"/>
      <c r="AA38"/>
      <c r="AB38"/>
      <c r="AD38"/>
    </row>
    <row r="39" spans="5:38" outlineLevel="1" x14ac:dyDescent="0.25">
      <c r="I39"/>
    </row>
    <row r="40" spans="5:38" outlineLevel="1" x14ac:dyDescent="0.25">
      <c r="I40"/>
      <c r="AC40" t="s">
        <v>26</v>
      </c>
      <c r="AD40" s="5">
        <f ca="1">AD14</f>
        <v>51.9180955113195</v>
      </c>
      <c r="AE40" s="4" t="s">
        <v>13</v>
      </c>
      <c r="AG40" s="4" t="s">
        <v>28</v>
      </c>
      <c r="AH40" s="4" t="s">
        <v>29</v>
      </c>
      <c r="AI40" s="4" t="s">
        <v>30</v>
      </c>
      <c r="AJ40" s="4" t="s">
        <v>15</v>
      </c>
      <c r="AK40" s="4" t="s">
        <v>31</v>
      </c>
      <c r="AL40" s="4" t="s">
        <v>32</v>
      </c>
    </row>
    <row r="41" spans="5:38" outlineLevel="1" x14ac:dyDescent="0.25">
      <c r="I41"/>
      <c r="AC41">
        <v>1</v>
      </c>
      <c r="AD41" s="5">
        <f t="dataTable" ref="AD41:AD140" dt2D="0" dtr="0" r1="AB38" ca="1"/>
        <v>51.051593148931147</v>
      </c>
      <c r="AE41" s="18">
        <f>MIN(AD41:AD140)</f>
        <v>48.295756840134509</v>
      </c>
      <c r="AF41" s="18"/>
      <c r="AG41" s="18">
        <f>PERCENTILE(AD41:AD140,0.1)</f>
        <v>50.685476009010479</v>
      </c>
      <c r="AH41" s="18">
        <f>PERCENTILE(AD41:AD140,0.5)</f>
        <v>52.644570786672062</v>
      </c>
      <c r="AI41" s="18">
        <f>PERCENTILE(AD41:AD140,0.9)</f>
        <v>54.530660887965894</v>
      </c>
      <c r="AJ41" s="18">
        <f>MAX(AD41:AD140)</f>
        <v>55.566669256113279</v>
      </c>
      <c r="AK41" s="18">
        <f>AVERAGE(AD41:AD140)</f>
        <v>52.597580425900126</v>
      </c>
      <c r="AL41">
        <f>COUNT(AD41:AD140)</f>
        <v>100</v>
      </c>
    </row>
    <row r="42" spans="5:38" outlineLevel="1" x14ac:dyDescent="0.25">
      <c r="I42"/>
      <c r="AC42">
        <f>AC41+1</f>
        <v>2</v>
      </c>
      <c r="AD42" s="5">
        <v>52.33711375958439</v>
      </c>
    </row>
    <row r="43" spans="5:38" outlineLevel="1" x14ac:dyDescent="0.25">
      <c r="I43"/>
      <c r="AC43">
        <f t="shared" ref="AC43:AC106" si="15">AC42+1</f>
        <v>3</v>
      </c>
      <c r="AD43" s="5">
        <v>51.501600761328397</v>
      </c>
    </row>
    <row r="44" spans="5:38" outlineLevel="1" x14ac:dyDescent="0.25">
      <c r="I44"/>
      <c r="AC44">
        <f t="shared" si="15"/>
        <v>4</v>
      </c>
      <c r="AD44" s="5">
        <v>51.339302615385584</v>
      </c>
    </row>
    <row r="45" spans="5:38" outlineLevel="1" x14ac:dyDescent="0.25">
      <c r="I45"/>
      <c r="AC45">
        <f t="shared" si="15"/>
        <v>5</v>
      </c>
      <c r="AD45" s="5">
        <v>53.142051883677162</v>
      </c>
    </row>
    <row r="46" spans="5:38" outlineLevel="1" x14ac:dyDescent="0.25">
      <c r="I46"/>
      <c r="AC46">
        <f t="shared" si="15"/>
        <v>6</v>
      </c>
      <c r="AD46" s="5">
        <v>55.41488579991978</v>
      </c>
    </row>
    <row r="47" spans="5:38" outlineLevel="1" x14ac:dyDescent="0.25">
      <c r="I47"/>
      <c r="AC47">
        <f t="shared" si="15"/>
        <v>7</v>
      </c>
      <c r="AD47" s="5">
        <v>51.3523005782803</v>
      </c>
    </row>
    <row r="48" spans="5:38" outlineLevel="1" x14ac:dyDescent="0.25">
      <c r="I48"/>
      <c r="AC48">
        <f t="shared" si="15"/>
        <v>8</v>
      </c>
      <c r="AD48" s="5">
        <v>49.652749645423242</v>
      </c>
    </row>
    <row r="49" spans="9:30" outlineLevel="1" x14ac:dyDescent="0.25">
      <c r="I49"/>
      <c r="AC49">
        <f t="shared" si="15"/>
        <v>9</v>
      </c>
      <c r="AD49" s="5">
        <v>50.702561438190642</v>
      </c>
    </row>
    <row r="50" spans="9:30" outlineLevel="1" x14ac:dyDescent="0.25">
      <c r="I50"/>
      <c r="AC50">
        <f t="shared" si="15"/>
        <v>10</v>
      </c>
      <c r="AD50" s="5">
        <v>52.591626998921754</v>
      </c>
    </row>
    <row r="51" spans="9:30" outlineLevel="1" x14ac:dyDescent="0.25">
      <c r="I51"/>
      <c r="AC51">
        <f t="shared" si="15"/>
        <v>11</v>
      </c>
      <c r="AD51" s="5">
        <v>52.887841764815583</v>
      </c>
    </row>
    <row r="52" spans="9:30" outlineLevel="1" x14ac:dyDescent="0.25">
      <c r="I52"/>
      <c r="AC52">
        <f t="shared" si="15"/>
        <v>12</v>
      </c>
      <c r="AD52" s="5">
        <v>50.983751066089056</v>
      </c>
    </row>
    <row r="53" spans="9:30" outlineLevel="1" x14ac:dyDescent="0.25">
      <c r="I53"/>
      <c r="AC53">
        <f t="shared" si="15"/>
        <v>13</v>
      </c>
      <c r="AD53" s="5">
        <v>54.918650727931229</v>
      </c>
    </row>
    <row r="54" spans="9:30" outlineLevel="1" x14ac:dyDescent="0.25">
      <c r="I54"/>
      <c r="AC54">
        <f t="shared" si="15"/>
        <v>14</v>
      </c>
      <c r="AD54" s="5">
        <v>52.031986696711428</v>
      </c>
    </row>
    <row r="55" spans="9:30" outlineLevel="1" x14ac:dyDescent="0.25">
      <c r="I55"/>
      <c r="AC55">
        <f t="shared" si="15"/>
        <v>15</v>
      </c>
      <c r="AD55" s="5">
        <v>55.061607304636645</v>
      </c>
    </row>
    <row r="56" spans="9:30" outlineLevel="1" x14ac:dyDescent="0.25">
      <c r="I56"/>
      <c r="AC56">
        <f t="shared" si="15"/>
        <v>16</v>
      </c>
      <c r="AD56" s="5">
        <v>51.01360640669089</v>
      </c>
    </row>
    <row r="57" spans="9:30" outlineLevel="1" x14ac:dyDescent="0.25">
      <c r="I57"/>
      <c r="AC57">
        <f t="shared" si="15"/>
        <v>17</v>
      </c>
      <c r="AD57" s="5">
        <v>50.366618376271902</v>
      </c>
    </row>
    <row r="58" spans="9:30" outlineLevel="1" x14ac:dyDescent="0.25">
      <c r="I58"/>
      <c r="AC58">
        <f t="shared" si="15"/>
        <v>18</v>
      </c>
      <c r="AD58" s="5">
        <v>55.566669256113279</v>
      </c>
    </row>
    <row r="59" spans="9:30" outlineLevel="1" x14ac:dyDescent="0.25">
      <c r="I59"/>
      <c r="AC59">
        <f t="shared" si="15"/>
        <v>19</v>
      </c>
      <c r="AD59" s="5">
        <v>52.88784967134243</v>
      </c>
    </row>
    <row r="60" spans="9:30" outlineLevel="1" x14ac:dyDescent="0.25">
      <c r="I60"/>
      <c r="AC60">
        <f t="shared" si="15"/>
        <v>20</v>
      </c>
      <c r="AD60" s="5">
        <v>52.136934780953531</v>
      </c>
    </row>
    <row r="61" spans="9:30" outlineLevel="1" x14ac:dyDescent="0.25">
      <c r="I61"/>
      <c r="AC61">
        <f t="shared" si="15"/>
        <v>21</v>
      </c>
      <c r="AD61" s="5">
        <v>50.699640115711688</v>
      </c>
    </row>
    <row r="62" spans="9:30" outlineLevel="1" x14ac:dyDescent="0.25">
      <c r="AC62">
        <f t="shared" si="15"/>
        <v>22</v>
      </c>
      <c r="AD62" s="5">
        <v>53.712844881129435</v>
      </c>
    </row>
    <row r="63" spans="9:30" outlineLevel="1" x14ac:dyDescent="0.25">
      <c r="AC63">
        <f t="shared" si="15"/>
        <v>23</v>
      </c>
      <c r="AD63" s="5">
        <v>53.474455565002714</v>
      </c>
    </row>
    <row r="64" spans="9:30" outlineLevel="1" x14ac:dyDescent="0.25">
      <c r="AC64">
        <f t="shared" si="15"/>
        <v>24</v>
      </c>
      <c r="AD64" s="5">
        <v>52.559029787348081</v>
      </c>
    </row>
    <row r="65" spans="29:30" outlineLevel="1" x14ac:dyDescent="0.25">
      <c r="AC65">
        <f t="shared" si="15"/>
        <v>25</v>
      </c>
      <c r="AD65" s="5">
        <v>50.228150106158985</v>
      </c>
    </row>
    <row r="66" spans="29:30" outlineLevel="1" x14ac:dyDescent="0.25">
      <c r="AC66">
        <f t="shared" si="15"/>
        <v>26</v>
      </c>
      <c r="AD66" s="5">
        <v>49.782059426760384</v>
      </c>
    </row>
    <row r="67" spans="29:30" outlineLevel="1" x14ac:dyDescent="0.25">
      <c r="AC67">
        <f t="shared" si="15"/>
        <v>27</v>
      </c>
      <c r="AD67" s="5">
        <v>53.922681379132712</v>
      </c>
    </row>
    <row r="68" spans="29:30" outlineLevel="1" x14ac:dyDescent="0.25">
      <c r="AC68">
        <f t="shared" si="15"/>
        <v>28</v>
      </c>
      <c r="AD68" s="5">
        <v>51.94931119122672</v>
      </c>
    </row>
    <row r="69" spans="29:30" outlineLevel="1" x14ac:dyDescent="0.25">
      <c r="AC69">
        <f t="shared" si="15"/>
        <v>29</v>
      </c>
      <c r="AD69" s="5">
        <v>52.477856650103497</v>
      </c>
    </row>
    <row r="70" spans="29:30" outlineLevel="1" x14ac:dyDescent="0.25">
      <c r="AC70">
        <f t="shared" si="15"/>
        <v>30</v>
      </c>
      <c r="AD70" s="5">
        <v>54.524083051048251</v>
      </c>
    </row>
    <row r="71" spans="29:30" outlineLevel="1" x14ac:dyDescent="0.25">
      <c r="AC71">
        <f t="shared" si="15"/>
        <v>31</v>
      </c>
      <c r="AD71" s="5">
        <v>55.013243787780127</v>
      </c>
    </row>
    <row r="72" spans="29:30" outlineLevel="1" x14ac:dyDescent="0.25">
      <c r="AC72">
        <f t="shared" si="15"/>
        <v>32</v>
      </c>
      <c r="AD72" s="5">
        <v>52.604010405278544</v>
      </c>
    </row>
    <row r="73" spans="29:30" outlineLevel="1" x14ac:dyDescent="0.25">
      <c r="AC73">
        <f t="shared" si="15"/>
        <v>33</v>
      </c>
      <c r="AD73" s="5">
        <v>50.509063554751968</v>
      </c>
    </row>
    <row r="74" spans="29:30" outlineLevel="1" x14ac:dyDescent="0.25">
      <c r="AC74">
        <f t="shared" si="15"/>
        <v>34</v>
      </c>
      <c r="AD74" s="5">
        <v>54.426375210498499</v>
      </c>
    </row>
    <row r="75" spans="29:30" outlineLevel="1" x14ac:dyDescent="0.25">
      <c r="AC75">
        <f t="shared" si="15"/>
        <v>35</v>
      </c>
      <c r="AD75" s="5">
        <v>53.835041553798398</v>
      </c>
    </row>
    <row r="76" spans="29:30" outlineLevel="1" x14ac:dyDescent="0.25">
      <c r="AC76">
        <f t="shared" si="15"/>
        <v>36</v>
      </c>
      <c r="AD76" s="5">
        <v>51.254442667809364</v>
      </c>
    </row>
    <row r="77" spans="29:30" outlineLevel="1" x14ac:dyDescent="0.25">
      <c r="AC77">
        <f t="shared" si="15"/>
        <v>37</v>
      </c>
      <c r="AD77" s="5">
        <v>51.627574496244534</v>
      </c>
    </row>
    <row r="78" spans="29:30" outlineLevel="1" x14ac:dyDescent="0.25">
      <c r="AC78">
        <f t="shared" si="15"/>
        <v>38</v>
      </c>
      <c r="AD78" s="5">
        <v>53.591822046382845</v>
      </c>
    </row>
    <row r="79" spans="29:30" outlineLevel="1" x14ac:dyDescent="0.25">
      <c r="AC79">
        <f t="shared" si="15"/>
        <v>39</v>
      </c>
      <c r="AD79" s="5">
        <v>53.319110477065784</v>
      </c>
    </row>
    <row r="80" spans="29:30" outlineLevel="1" x14ac:dyDescent="0.25">
      <c r="AC80">
        <f t="shared" si="15"/>
        <v>40</v>
      </c>
      <c r="AD80" s="5">
        <v>52.459540675706272</v>
      </c>
    </row>
    <row r="81" spans="29:30" outlineLevel="1" x14ac:dyDescent="0.25">
      <c r="AC81">
        <f t="shared" si="15"/>
        <v>41</v>
      </c>
      <c r="AD81" s="5">
        <v>53.850160082427877</v>
      </c>
    </row>
    <row r="82" spans="29:30" outlineLevel="1" x14ac:dyDescent="0.25">
      <c r="AC82">
        <f t="shared" si="15"/>
        <v>42</v>
      </c>
      <c r="AD82" s="5">
        <v>54.589861420224665</v>
      </c>
    </row>
    <row r="83" spans="29:30" outlineLevel="1" x14ac:dyDescent="0.25">
      <c r="AC83">
        <f t="shared" si="15"/>
        <v>43</v>
      </c>
      <c r="AD83" s="5">
        <v>52.586621386947115</v>
      </c>
    </row>
    <row r="84" spans="29:30" outlineLevel="1" x14ac:dyDescent="0.25">
      <c r="AC84">
        <f t="shared" si="15"/>
        <v>44</v>
      </c>
      <c r="AD84" s="5">
        <v>52.999065948908267</v>
      </c>
    </row>
    <row r="85" spans="29:30" outlineLevel="1" x14ac:dyDescent="0.25">
      <c r="AC85">
        <f t="shared" si="15"/>
        <v>45</v>
      </c>
      <c r="AD85" s="5">
        <v>53.806904629761029</v>
      </c>
    </row>
    <row r="86" spans="29:30" outlineLevel="1" x14ac:dyDescent="0.25">
      <c r="AC86">
        <f t="shared" si="15"/>
        <v>46</v>
      </c>
      <c r="AD86" s="5">
        <v>51.389628927004431</v>
      </c>
    </row>
    <row r="87" spans="29:30" outlineLevel="1" x14ac:dyDescent="0.25">
      <c r="AC87">
        <f t="shared" si="15"/>
        <v>47</v>
      </c>
      <c r="AD87" s="5">
        <v>52.734113302068117</v>
      </c>
    </row>
    <row r="88" spans="29:30" outlineLevel="1" x14ac:dyDescent="0.25">
      <c r="AC88">
        <f t="shared" si="15"/>
        <v>48</v>
      </c>
      <c r="AD88" s="5">
        <v>53.927499238437285</v>
      </c>
    </row>
    <row r="89" spans="29:30" outlineLevel="1" x14ac:dyDescent="0.25">
      <c r="AC89">
        <f t="shared" si="15"/>
        <v>49</v>
      </c>
      <c r="AD89" s="5">
        <v>52.057127122691327</v>
      </c>
    </row>
    <row r="90" spans="29:30" outlineLevel="1" x14ac:dyDescent="0.25">
      <c r="AC90">
        <f t="shared" si="15"/>
        <v>50</v>
      </c>
      <c r="AD90" s="5">
        <v>52.097535740617012</v>
      </c>
    </row>
    <row r="91" spans="29:30" outlineLevel="1" x14ac:dyDescent="0.25">
      <c r="AC91">
        <f t="shared" si="15"/>
        <v>51</v>
      </c>
      <c r="AD91" s="5">
        <v>52.765659405044076</v>
      </c>
    </row>
    <row r="92" spans="29:30" outlineLevel="1" x14ac:dyDescent="0.25">
      <c r="AC92">
        <f t="shared" si="15"/>
        <v>52</v>
      </c>
      <c r="AD92" s="5">
        <v>52.65785768184972</v>
      </c>
    </row>
    <row r="93" spans="29:30" outlineLevel="1" x14ac:dyDescent="0.25">
      <c r="AC93">
        <f t="shared" si="15"/>
        <v>53</v>
      </c>
      <c r="AD93" s="5">
        <v>54.52154379599358</v>
      </c>
    </row>
    <row r="94" spans="29:30" outlineLevel="1" x14ac:dyDescent="0.25">
      <c r="AC94">
        <f t="shared" si="15"/>
        <v>54</v>
      </c>
      <c r="AD94" s="5">
        <v>52.728399594354123</v>
      </c>
    </row>
    <row r="95" spans="29:30" outlineLevel="1" x14ac:dyDescent="0.25">
      <c r="AC95">
        <f t="shared" si="15"/>
        <v>55</v>
      </c>
      <c r="AD95" s="5">
        <v>53.168491070888422</v>
      </c>
    </row>
    <row r="96" spans="29:30" outlineLevel="1" x14ac:dyDescent="0.25">
      <c r="AC96">
        <f t="shared" si="15"/>
        <v>56</v>
      </c>
      <c r="AD96" s="5">
        <v>52.631283891494405</v>
      </c>
    </row>
    <row r="97" spans="29:30" outlineLevel="1" x14ac:dyDescent="0.25">
      <c r="AC97">
        <f t="shared" si="15"/>
        <v>57</v>
      </c>
      <c r="AD97" s="5">
        <v>51.5982089011951</v>
      </c>
    </row>
    <row r="98" spans="29:30" outlineLevel="1" x14ac:dyDescent="0.25">
      <c r="AC98">
        <f t="shared" si="15"/>
        <v>58</v>
      </c>
      <c r="AD98" s="5">
        <v>50.557999048699592</v>
      </c>
    </row>
    <row r="99" spans="29:30" outlineLevel="1" x14ac:dyDescent="0.25">
      <c r="AC99">
        <f t="shared" si="15"/>
        <v>59</v>
      </c>
      <c r="AD99" s="5">
        <v>52.758128699628941</v>
      </c>
    </row>
    <row r="100" spans="29:30" outlineLevel="1" x14ac:dyDescent="0.25">
      <c r="AC100">
        <f t="shared" si="15"/>
        <v>60</v>
      </c>
      <c r="AD100" s="5">
        <v>53.183428736337547</v>
      </c>
    </row>
    <row r="101" spans="29:30" outlineLevel="1" x14ac:dyDescent="0.25">
      <c r="AC101">
        <f t="shared" si="15"/>
        <v>61</v>
      </c>
      <c r="AD101" s="5">
        <v>52.981041773707688</v>
      </c>
    </row>
    <row r="102" spans="29:30" outlineLevel="1" x14ac:dyDescent="0.25">
      <c r="AC102">
        <f t="shared" si="15"/>
        <v>62</v>
      </c>
      <c r="AD102" s="5">
        <v>51.269919907465024</v>
      </c>
    </row>
    <row r="103" spans="29:30" outlineLevel="1" x14ac:dyDescent="0.25">
      <c r="AC103">
        <f t="shared" si="15"/>
        <v>63</v>
      </c>
      <c r="AD103" s="5">
        <v>52.347746158991491</v>
      </c>
    </row>
    <row r="104" spans="29:30" outlineLevel="1" x14ac:dyDescent="0.25">
      <c r="AC104">
        <f t="shared" si="15"/>
        <v>64</v>
      </c>
      <c r="AD104" s="5">
        <v>52.340930121694349</v>
      </c>
    </row>
    <row r="105" spans="29:30" outlineLevel="1" x14ac:dyDescent="0.25">
      <c r="AC105">
        <f t="shared" si="15"/>
        <v>65</v>
      </c>
      <c r="AD105" s="5">
        <v>51.039473372947576</v>
      </c>
    </row>
    <row r="106" spans="29:30" outlineLevel="1" x14ac:dyDescent="0.25">
      <c r="AC106">
        <f t="shared" si="15"/>
        <v>66</v>
      </c>
      <c r="AD106" s="5">
        <v>52.961867390242119</v>
      </c>
    </row>
    <row r="107" spans="29:30" outlineLevel="1" x14ac:dyDescent="0.25">
      <c r="AC107">
        <f t="shared" ref="AC107:AC140" si="16">AC106+1</f>
        <v>67</v>
      </c>
      <c r="AD107" s="5">
        <v>52.849382514280961</v>
      </c>
    </row>
    <row r="108" spans="29:30" outlineLevel="1" x14ac:dyDescent="0.25">
      <c r="AC108">
        <f t="shared" si="16"/>
        <v>68</v>
      </c>
      <c r="AD108" s="5">
        <v>52.991257853584813</v>
      </c>
    </row>
    <row r="109" spans="29:30" outlineLevel="1" x14ac:dyDescent="0.25">
      <c r="AC109">
        <f t="shared" si="16"/>
        <v>69</v>
      </c>
      <c r="AD109" s="5">
        <v>53.332467111292459</v>
      </c>
    </row>
    <row r="110" spans="29:30" outlineLevel="1" x14ac:dyDescent="0.25">
      <c r="AC110">
        <f t="shared" si="16"/>
        <v>70</v>
      </c>
      <c r="AD110" s="5">
        <v>53.026054716372741</v>
      </c>
    </row>
    <row r="111" spans="29:30" outlineLevel="1" x14ac:dyDescent="0.25">
      <c r="AC111">
        <f t="shared" si="16"/>
        <v>71</v>
      </c>
      <c r="AD111" s="5">
        <v>49.688929917530089</v>
      </c>
    </row>
    <row r="112" spans="29:30" outlineLevel="1" x14ac:dyDescent="0.25">
      <c r="AC112">
        <f t="shared" si="16"/>
        <v>72</v>
      </c>
      <c r="AD112" s="5">
        <v>53.80854748360445</v>
      </c>
    </row>
    <row r="113" spans="29:30" outlineLevel="1" x14ac:dyDescent="0.25">
      <c r="AC113">
        <f t="shared" si="16"/>
        <v>73</v>
      </c>
      <c r="AD113" s="5">
        <v>54.672279745677599</v>
      </c>
    </row>
    <row r="114" spans="29:30" outlineLevel="1" x14ac:dyDescent="0.25">
      <c r="AC114">
        <f t="shared" si="16"/>
        <v>74</v>
      </c>
      <c r="AD114" s="5">
        <v>52.7673387545683</v>
      </c>
    </row>
    <row r="115" spans="29:30" outlineLevel="1" x14ac:dyDescent="0.25">
      <c r="AC115">
        <f t="shared" si="16"/>
        <v>75</v>
      </c>
      <c r="AD115" s="5">
        <v>53.9935067905908</v>
      </c>
    </row>
    <row r="116" spans="29:30" outlineLevel="1" x14ac:dyDescent="0.25">
      <c r="AC116">
        <f t="shared" si="16"/>
        <v>76</v>
      </c>
      <c r="AD116" s="5">
        <v>48.295756840134509</v>
      </c>
    </row>
    <row r="117" spans="29:30" outlineLevel="1" x14ac:dyDescent="0.25">
      <c r="AC117">
        <f t="shared" si="16"/>
        <v>77</v>
      </c>
      <c r="AD117" s="5">
        <v>52.421560560214367</v>
      </c>
    </row>
    <row r="118" spans="29:30" outlineLevel="1" x14ac:dyDescent="0.25">
      <c r="AC118">
        <f t="shared" si="16"/>
        <v>78</v>
      </c>
      <c r="AD118" s="5">
        <v>54.655723110849529</v>
      </c>
    </row>
    <row r="119" spans="29:30" outlineLevel="1" x14ac:dyDescent="0.25">
      <c r="AC119">
        <f t="shared" si="16"/>
        <v>79</v>
      </c>
      <c r="AD119" s="5">
        <v>55.260139329668853</v>
      </c>
    </row>
    <row r="120" spans="29:30" outlineLevel="1" x14ac:dyDescent="0.25">
      <c r="AC120">
        <f t="shared" si="16"/>
        <v>80</v>
      </c>
      <c r="AD120" s="5">
        <v>52.255977947915568</v>
      </c>
    </row>
    <row r="121" spans="29:30" outlineLevel="1" x14ac:dyDescent="0.25">
      <c r="AC121">
        <f t="shared" si="16"/>
        <v>81</v>
      </c>
      <c r="AD121" s="5">
        <v>50.870710840076697</v>
      </c>
    </row>
    <row r="122" spans="29:30" outlineLevel="1" x14ac:dyDescent="0.25">
      <c r="AC122">
        <f t="shared" si="16"/>
        <v>82</v>
      </c>
      <c r="AD122" s="5">
        <v>53.376778035230366</v>
      </c>
    </row>
    <row r="123" spans="29:30" outlineLevel="1" x14ac:dyDescent="0.25">
      <c r="AC123">
        <f t="shared" si="16"/>
        <v>83</v>
      </c>
      <c r="AD123" s="5">
        <v>51.048808959905742</v>
      </c>
    </row>
    <row r="124" spans="29:30" outlineLevel="1" x14ac:dyDescent="0.25">
      <c r="AC124">
        <f t="shared" si="16"/>
        <v>84</v>
      </c>
      <c r="AD124" s="5">
        <v>49.724392438055979</v>
      </c>
    </row>
    <row r="125" spans="29:30" outlineLevel="1" x14ac:dyDescent="0.25">
      <c r="AC125">
        <f t="shared" si="16"/>
        <v>85</v>
      </c>
      <c r="AD125" s="5">
        <v>54.333108114421563</v>
      </c>
    </row>
    <row r="126" spans="29:30" outlineLevel="1" x14ac:dyDescent="0.25">
      <c r="AC126">
        <f t="shared" si="16"/>
        <v>86</v>
      </c>
      <c r="AD126" s="5">
        <v>50.345529441014101</v>
      </c>
    </row>
    <row r="127" spans="29:30" outlineLevel="1" x14ac:dyDescent="0.25">
      <c r="AC127">
        <f t="shared" si="16"/>
        <v>87</v>
      </c>
      <c r="AD127" s="5">
        <v>51.77401643457069</v>
      </c>
    </row>
    <row r="128" spans="29:30" outlineLevel="1" x14ac:dyDescent="0.25">
      <c r="AC128">
        <f t="shared" si="16"/>
        <v>88</v>
      </c>
      <c r="AD128" s="5">
        <v>54.141701127171999</v>
      </c>
    </row>
    <row r="129" spans="29:30" outlineLevel="1" x14ac:dyDescent="0.25">
      <c r="AC129">
        <f t="shared" si="16"/>
        <v>89</v>
      </c>
      <c r="AD129" s="5">
        <v>51.324150073222619</v>
      </c>
    </row>
    <row r="130" spans="29:30" outlineLevel="1" x14ac:dyDescent="0.25">
      <c r="AC130">
        <f t="shared" si="16"/>
        <v>90</v>
      </c>
      <c r="AD130" s="5">
        <v>53.228558392439702</v>
      </c>
    </row>
    <row r="131" spans="29:30" outlineLevel="1" x14ac:dyDescent="0.25">
      <c r="AC131">
        <f t="shared" si="16"/>
        <v>91</v>
      </c>
      <c r="AD131" s="5">
        <v>52.015361259013645</v>
      </c>
    </row>
    <row r="132" spans="29:30" outlineLevel="1" x14ac:dyDescent="0.25">
      <c r="AC132">
        <f t="shared" si="16"/>
        <v>92</v>
      </c>
      <c r="AD132" s="5">
        <v>52.355014533847623</v>
      </c>
    </row>
    <row r="133" spans="29:30" outlineLevel="1" x14ac:dyDescent="0.25">
      <c r="AC133">
        <f t="shared" si="16"/>
        <v>93</v>
      </c>
      <c r="AD133" s="5">
        <v>52.288149886692516</v>
      </c>
    </row>
    <row r="134" spans="29:30" outlineLevel="1" x14ac:dyDescent="0.25">
      <c r="AC134">
        <f t="shared" si="16"/>
        <v>94</v>
      </c>
      <c r="AD134" s="5">
        <v>52.710465956301761</v>
      </c>
    </row>
    <row r="135" spans="29:30" outlineLevel="1" x14ac:dyDescent="0.25">
      <c r="AC135">
        <f t="shared" si="16"/>
        <v>95</v>
      </c>
      <c r="AD135" s="5">
        <v>52.321318087693982</v>
      </c>
    </row>
    <row r="136" spans="29:30" outlineLevel="1" x14ac:dyDescent="0.25">
      <c r="AC136">
        <f t="shared" si="16"/>
        <v>96</v>
      </c>
      <c r="AD136" s="5">
        <v>55.472539712694171</v>
      </c>
    </row>
    <row r="137" spans="29:30" outlineLevel="1" x14ac:dyDescent="0.25">
      <c r="AC137">
        <f t="shared" si="16"/>
        <v>97</v>
      </c>
      <c r="AD137" s="5">
        <v>54.398738911953238</v>
      </c>
    </row>
    <row r="138" spans="29:30" outlineLevel="1" x14ac:dyDescent="0.25">
      <c r="AC138">
        <f t="shared" si="16"/>
        <v>98</v>
      </c>
      <c r="AD138" s="5">
        <v>54.112612069887483</v>
      </c>
    </row>
    <row r="139" spans="29:30" outlineLevel="1" x14ac:dyDescent="0.25">
      <c r="AC139">
        <f t="shared" si="16"/>
        <v>99</v>
      </c>
      <c r="AD139" s="5">
        <v>52.425228259824834</v>
      </c>
    </row>
    <row r="140" spans="29:30" outlineLevel="1" x14ac:dyDescent="0.25">
      <c r="AC140">
        <f t="shared" si="16"/>
        <v>100</v>
      </c>
      <c r="AD140" s="5">
        <v>53.00980031995158</v>
      </c>
    </row>
  </sheetData>
  <conditionalFormatting sqref="E3:H12">
    <cfRule type="cellIs" dxfId="12" priority="7" operator="equal">
      <formula>1</formula>
    </cfRule>
  </conditionalFormatting>
  <conditionalFormatting sqref="E20:H29">
    <cfRule type="cellIs" dxfId="11" priority="1" operator="equal">
      <formula>1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58186-C25D-4930-853A-FF43524666F5}">
  <sheetPr codeName="Sheet4"/>
  <dimension ref="A1:J1261"/>
  <sheetViews>
    <sheetView topLeftCell="A2" workbookViewId="0">
      <selection activeCell="A2" sqref="A2:D1261"/>
    </sheetView>
  </sheetViews>
  <sheetFormatPr defaultRowHeight="15" x14ac:dyDescent="0.25"/>
  <cols>
    <col min="1" max="1" width="13.5703125" style="4" customWidth="1"/>
    <col min="2" max="4" width="15.42578125" style="4" customWidth="1"/>
    <col min="6" max="6" width="9.5703125" style="4" customWidth="1"/>
    <col min="7" max="10" width="7.42578125" style="4" customWidth="1"/>
    <col min="11" max="22" width="7.42578125" customWidth="1"/>
  </cols>
  <sheetData>
    <row r="1" spans="1:4" x14ac:dyDescent="0.25">
      <c r="A1" s="4" t="s">
        <v>26</v>
      </c>
      <c r="B1" s="4" t="s">
        <v>50</v>
      </c>
      <c r="C1" s="4" t="s">
        <v>39</v>
      </c>
      <c r="D1" s="4" t="s">
        <v>11</v>
      </c>
    </row>
    <row r="2" spans="1:4" x14ac:dyDescent="0.25">
      <c r="A2" s="4">
        <v>1</v>
      </c>
      <c r="B2" s="4">
        <v>1</v>
      </c>
      <c r="C2" s="4" t="s">
        <v>40</v>
      </c>
      <c r="D2" s="4" t="s">
        <v>4</v>
      </c>
    </row>
    <row r="3" spans="1:4" x14ac:dyDescent="0.25">
      <c r="A3" s="4">
        <v>1</v>
      </c>
      <c r="B3" s="4">
        <v>0</v>
      </c>
      <c r="C3" s="4" t="s">
        <v>41</v>
      </c>
      <c r="D3" s="4" t="s">
        <v>4</v>
      </c>
    </row>
    <row r="4" spans="1:4" x14ac:dyDescent="0.25">
      <c r="A4" s="4">
        <v>1</v>
      </c>
      <c r="B4" s="4">
        <v>1</v>
      </c>
      <c r="C4" s="4" t="s">
        <v>42</v>
      </c>
      <c r="D4" s="4" t="s">
        <v>4</v>
      </c>
    </row>
    <row r="5" spans="1:4" x14ac:dyDescent="0.25">
      <c r="A5" s="4">
        <v>1</v>
      </c>
      <c r="B5" s="4">
        <v>1</v>
      </c>
      <c r="C5" s="4" t="s">
        <v>43</v>
      </c>
      <c r="D5" s="4" t="s">
        <v>4</v>
      </c>
    </row>
    <row r="6" spans="1:4" x14ac:dyDescent="0.25">
      <c r="A6" s="4">
        <v>1</v>
      </c>
      <c r="B6" s="4">
        <v>0</v>
      </c>
      <c r="C6" s="4" t="s">
        <v>44</v>
      </c>
      <c r="D6" s="4" t="s">
        <v>4</v>
      </c>
    </row>
    <row r="7" spans="1:4" x14ac:dyDescent="0.25">
      <c r="A7" s="4">
        <v>1</v>
      </c>
      <c r="B7" s="4">
        <v>0</v>
      </c>
      <c r="C7" s="4" t="s">
        <v>45</v>
      </c>
      <c r="D7" s="4" t="s">
        <v>4</v>
      </c>
    </row>
    <row r="8" spans="1:4" x14ac:dyDescent="0.25">
      <c r="A8" s="4">
        <v>1</v>
      </c>
      <c r="B8" s="4">
        <v>0</v>
      </c>
      <c r="C8" s="4" t="s">
        <v>46</v>
      </c>
      <c r="D8" s="4" t="s">
        <v>4</v>
      </c>
    </row>
    <row r="9" spans="1:4" x14ac:dyDescent="0.25">
      <c r="A9" s="4">
        <v>1</v>
      </c>
      <c r="B9" s="4">
        <v>0</v>
      </c>
      <c r="C9" s="4" t="s">
        <v>47</v>
      </c>
      <c r="D9" s="4" t="s">
        <v>4</v>
      </c>
    </row>
    <row r="10" spans="1:4" x14ac:dyDescent="0.25">
      <c r="A10" s="4">
        <v>1</v>
      </c>
      <c r="B10" s="4">
        <v>0</v>
      </c>
      <c r="C10" s="4" t="s">
        <v>48</v>
      </c>
      <c r="D10" s="4" t="s">
        <v>4</v>
      </c>
    </row>
    <row r="11" spans="1:4" x14ac:dyDescent="0.25">
      <c r="A11" s="4">
        <v>1</v>
      </c>
      <c r="B11" s="4">
        <v>0</v>
      </c>
      <c r="C11" s="4" t="s">
        <v>49</v>
      </c>
      <c r="D11" s="4" t="s">
        <v>4</v>
      </c>
    </row>
    <row r="12" spans="1:4" x14ac:dyDescent="0.25">
      <c r="A12" s="4">
        <v>1</v>
      </c>
      <c r="B12" s="4">
        <v>0</v>
      </c>
      <c r="C12" s="4" t="s">
        <v>40</v>
      </c>
      <c r="D12" s="4" t="s">
        <v>5</v>
      </c>
    </row>
    <row r="13" spans="1:4" x14ac:dyDescent="0.25">
      <c r="A13" s="4">
        <v>1</v>
      </c>
      <c r="B13" s="4">
        <v>0</v>
      </c>
      <c r="C13" s="4" t="s">
        <v>41</v>
      </c>
      <c r="D13" s="4" t="s">
        <v>5</v>
      </c>
    </row>
    <row r="14" spans="1:4" x14ac:dyDescent="0.25">
      <c r="A14" s="4">
        <v>1</v>
      </c>
      <c r="B14" s="4">
        <v>0</v>
      </c>
      <c r="C14" s="4" t="s">
        <v>42</v>
      </c>
      <c r="D14" s="4" t="s">
        <v>5</v>
      </c>
    </row>
    <row r="15" spans="1:4" x14ac:dyDescent="0.25">
      <c r="A15" s="4">
        <v>1</v>
      </c>
      <c r="B15" s="4">
        <v>0</v>
      </c>
      <c r="C15" s="4" t="s">
        <v>43</v>
      </c>
      <c r="D15" s="4" t="s">
        <v>5</v>
      </c>
    </row>
    <row r="16" spans="1:4" x14ac:dyDescent="0.25">
      <c r="A16" s="4">
        <v>1</v>
      </c>
      <c r="B16" s="4">
        <v>1</v>
      </c>
      <c r="C16" s="4" t="s">
        <v>44</v>
      </c>
      <c r="D16" s="4" t="s">
        <v>5</v>
      </c>
    </row>
    <row r="17" spans="1:4" x14ac:dyDescent="0.25">
      <c r="A17" s="4">
        <v>1</v>
      </c>
      <c r="B17" s="4">
        <v>1</v>
      </c>
      <c r="C17" s="4" t="s">
        <v>45</v>
      </c>
      <c r="D17" s="4" t="s">
        <v>5</v>
      </c>
    </row>
    <row r="18" spans="1:4" x14ac:dyDescent="0.25">
      <c r="A18" s="4">
        <v>1</v>
      </c>
      <c r="B18" s="4">
        <v>0</v>
      </c>
      <c r="C18" s="4" t="s">
        <v>46</v>
      </c>
      <c r="D18" s="4" t="s">
        <v>5</v>
      </c>
    </row>
    <row r="19" spans="1:4" x14ac:dyDescent="0.25">
      <c r="A19" s="4">
        <v>1</v>
      </c>
      <c r="B19" s="4">
        <v>1</v>
      </c>
      <c r="C19" s="4" t="s">
        <v>47</v>
      </c>
      <c r="D19" s="4" t="s">
        <v>5</v>
      </c>
    </row>
    <row r="20" spans="1:4" x14ac:dyDescent="0.25">
      <c r="A20" s="4">
        <v>1</v>
      </c>
      <c r="B20" s="4">
        <v>0</v>
      </c>
      <c r="C20" s="4" t="s">
        <v>48</v>
      </c>
      <c r="D20" s="4" t="s">
        <v>5</v>
      </c>
    </row>
    <row r="21" spans="1:4" x14ac:dyDescent="0.25">
      <c r="A21" s="4">
        <v>1</v>
      </c>
      <c r="B21" s="4">
        <v>0</v>
      </c>
      <c r="C21" s="4" t="s">
        <v>49</v>
      </c>
      <c r="D21" s="4" t="s">
        <v>5</v>
      </c>
    </row>
    <row r="22" spans="1:4" x14ac:dyDescent="0.25">
      <c r="A22" s="4">
        <v>1</v>
      </c>
      <c r="B22" s="4">
        <v>0</v>
      </c>
      <c r="C22" s="4" t="s">
        <v>40</v>
      </c>
      <c r="D22" s="4" t="s">
        <v>6</v>
      </c>
    </row>
    <row r="23" spans="1:4" x14ac:dyDescent="0.25">
      <c r="A23" s="4">
        <v>1</v>
      </c>
      <c r="B23" s="4">
        <v>1</v>
      </c>
      <c r="C23" s="4" t="s">
        <v>41</v>
      </c>
      <c r="D23" s="4" t="s">
        <v>6</v>
      </c>
    </row>
    <row r="24" spans="1:4" x14ac:dyDescent="0.25">
      <c r="A24" s="4">
        <v>1</v>
      </c>
      <c r="B24" s="4">
        <v>0</v>
      </c>
      <c r="C24" s="4" t="s">
        <v>42</v>
      </c>
      <c r="D24" s="4" t="s">
        <v>6</v>
      </c>
    </row>
    <row r="25" spans="1:4" x14ac:dyDescent="0.25">
      <c r="A25" s="4">
        <v>1</v>
      </c>
      <c r="B25" s="4">
        <v>0</v>
      </c>
      <c r="C25" s="4" t="s">
        <v>43</v>
      </c>
      <c r="D25" s="4" t="s">
        <v>6</v>
      </c>
    </row>
    <row r="26" spans="1:4" x14ac:dyDescent="0.25">
      <c r="A26" s="4">
        <v>1</v>
      </c>
      <c r="B26" s="4">
        <v>0</v>
      </c>
      <c r="C26" s="4" t="s">
        <v>44</v>
      </c>
      <c r="D26" s="4" t="s">
        <v>6</v>
      </c>
    </row>
    <row r="27" spans="1:4" x14ac:dyDescent="0.25">
      <c r="A27" s="4">
        <v>1</v>
      </c>
      <c r="B27" s="4">
        <v>0</v>
      </c>
      <c r="C27" s="4" t="s">
        <v>45</v>
      </c>
      <c r="D27" s="4" t="s">
        <v>6</v>
      </c>
    </row>
    <row r="28" spans="1:4" x14ac:dyDescent="0.25">
      <c r="A28" s="4">
        <v>1</v>
      </c>
      <c r="B28" s="4">
        <v>0</v>
      </c>
      <c r="C28" s="4" t="s">
        <v>46</v>
      </c>
      <c r="D28" s="4" t="s">
        <v>6</v>
      </c>
    </row>
    <row r="29" spans="1:4" x14ac:dyDescent="0.25">
      <c r="A29" s="4">
        <v>1</v>
      </c>
      <c r="B29" s="4">
        <v>0</v>
      </c>
      <c r="C29" s="4" t="s">
        <v>47</v>
      </c>
      <c r="D29" s="4" t="s">
        <v>6</v>
      </c>
    </row>
    <row r="30" spans="1:4" x14ac:dyDescent="0.25">
      <c r="A30" s="4">
        <v>1</v>
      </c>
      <c r="B30" s="4">
        <v>0</v>
      </c>
      <c r="C30" s="4" t="s">
        <v>48</v>
      </c>
      <c r="D30" s="4" t="s">
        <v>6</v>
      </c>
    </row>
    <row r="31" spans="1:4" x14ac:dyDescent="0.25">
      <c r="A31" s="4">
        <v>1</v>
      </c>
      <c r="B31" s="4">
        <v>1</v>
      </c>
      <c r="C31" s="4" t="s">
        <v>49</v>
      </c>
      <c r="D31" s="4" t="s">
        <v>6</v>
      </c>
    </row>
    <row r="32" spans="1:4" x14ac:dyDescent="0.25">
      <c r="A32" s="4">
        <v>1</v>
      </c>
      <c r="B32" s="4">
        <v>0</v>
      </c>
      <c r="C32" s="4" t="s">
        <v>40</v>
      </c>
      <c r="D32" s="4" t="s">
        <v>7</v>
      </c>
    </row>
    <row r="33" spans="1:4" x14ac:dyDescent="0.25">
      <c r="A33" s="4">
        <v>1</v>
      </c>
      <c r="B33" s="4">
        <v>0</v>
      </c>
      <c r="C33" s="4" t="s">
        <v>41</v>
      </c>
      <c r="D33" s="4" t="s">
        <v>7</v>
      </c>
    </row>
    <row r="34" spans="1:4" x14ac:dyDescent="0.25">
      <c r="A34" s="4">
        <v>1</v>
      </c>
      <c r="B34" s="4">
        <v>0</v>
      </c>
      <c r="C34" s="4" t="s">
        <v>42</v>
      </c>
      <c r="D34" s="4" t="s">
        <v>7</v>
      </c>
    </row>
    <row r="35" spans="1:4" x14ac:dyDescent="0.25">
      <c r="A35" s="4">
        <v>1</v>
      </c>
      <c r="B35" s="4">
        <v>0</v>
      </c>
      <c r="C35" s="4" t="s">
        <v>43</v>
      </c>
      <c r="D35" s="4" t="s">
        <v>7</v>
      </c>
    </row>
    <row r="36" spans="1:4" x14ac:dyDescent="0.25">
      <c r="A36" s="4">
        <v>1</v>
      </c>
      <c r="B36" s="4">
        <v>0</v>
      </c>
      <c r="C36" s="4" t="s">
        <v>44</v>
      </c>
      <c r="D36" s="4" t="s">
        <v>7</v>
      </c>
    </row>
    <row r="37" spans="1:4" x14ac:dyDescent="0.25">
      <c r="A37" s="4">
        <v>1</v>
      </c>
      <c r="B37" s="4">
        <v>0</v>
      </c>
      <c r="C37" s="4" t="s">
        <v>45</v>
      </c>
      <c r="D37" s="4" t="s">
        <v>7</v>
      </c>
    </row>
    <row r="38" spans="1:4" x14ac:dyDescent="0.25">
      <c r="A38" s="4">
        <v>1</v>
      </c>
      <c r="B38" s="4">
        <v>1</v>
      </c>
      <c r="C38" s="4" t="s">
        <v>46</v>
      </c>
      <c r="D38" s="4" t="s">
        <v>7</v>
      </c>
    </row>
    <row r="39" spans="1:4" x14ac:dyDescent="0.25">
      <c r="A39" s="4">
        <v>1</v>
      </c>
      <c r="B39" s="4">
        <v>0</v>
      </c>
      <c r="C39" s="4" t="s">
        <v>47</v>
      </c>
      <c r="D39" s="4" t="s">
        <v>7</v>
      </c>
    </row>
    <row r="40" spans="1:4" x14ac:dyDescent="0.25">
      <c r="A40" s="4">
        <v>1</v>
      </c>
      <c r="B40" s="4">
        <v>1</v>
      </c>
      <c r="C40" s="4" t="s">
        <v>48</v>
      </c>
      <c r="D40" s="4" t="s">
        <v>7</v>
      </c>
    </row>
    <row r="41" spans="1:4" x14ac:dyDescent="0.25">
      <c r="A41" s="4">
        <v>1</v>
      </c>
      <c r="B41" s="4">
        <v>0</v>
      </c>
      <c r="C41" s="4" t="s">
        <v>49</v>
      </c>
      <c r="D41" s="4" t="s">
        <v>7</v>
      </c>
    </row>
    <row r="42" spans="1:4" x14ac:dyDescent="0.25">
      <c r="A42" s="4">
        <v>2</v>
      </c>
      <c r="B42" s="4">
        <v>0</v>
      </c>
      <c r="C42" s="4" t="s">
        <v>40</v>
      </c>
      <c r="D42" s="4" t="s">
        <v>4</v>
      </c>
    </row>
    <row r="43" spans="1:4" x14ac:dyDescent="0.25">
      <c r="A43" s="4">
        <v>2</v>
      </c>
      <c r="B43" s="4">
        <v>0</v>
      </c>
      <c r="C43" s="4" t="s">
        <v>41</v>
      </c>
      <c r="D43" s="4" t="s">
        <v>4</v>
      </c>
    </row>
    <row r="44" spans="1:4" x14ac:dyDescent="0.25">
      <c r="A44" s="4">
        <v>2</v>
      </c>
      <c r="B44" s="4">
        <v>0</v>
      </c>
      <c r="C44" s="4" t="s">
        <v>42</v>
      </c>
      <c r="D44" s="4" t="s">
        <v>4</v>
      </c>
    </row>
    <row r="45" spans="1:4" x14ac:dyDescent="0.25">
      <c r="A45" s="4">
        <v>2</v>
      </c>
      <c r="B45" s="4">
        <v>1</v>
      </c>
      <c r="C45" s="4" t="s">
        <v>43</v>
      </c>
      <c r="D45" s="4" t="s">
        <v>4</v>
      </c>
    </row>
    <row r="46" spans="1:4" x14ac:dyDescent="0.25">
      <c r="A46" s="4">
        <v>2</v>
      </c>
      <c r="B46" s="4">
        <v>0</v>
      </c>
      <c r="C46" s="4" t="s">
        <v>44</v>
      </c>
      <c r="D46" s="4" t="s">
        <v>4</v>
      </c>
    </row>
    <row r="47" spans="1:4" x14ac:dyDescent="0.25">
      <c r="A47" s="4">
        <v>2</v>
      </c>
      <c r="B47" s="4">
        <v>1</v>
      </c>
      <c r="C47" s="4" t="s">
        <v>45</v>
      </c>
      <c r="D47" s="4" t="s">
        <v>4</v>
      </c>
    </row>
    <row r="48" spans="1:4" x14ac:dyDescent="0.25">
      <c r="A48" s="4">
        <v>2</v>
      </c>
      <c r="B48" s="4">
        <v>0</v>
      </c>
      <c r="C48" s="4" t="s">
        <v>46</v>
      </c>
      <c r="D48" s="4" t="s">
        <v>4</v>
      </c>
    </row>
    <row r="49" spans="1:4" x14ac:dyDescent="0.25">
      <c r="A49" s="4">
        <v>2</v>
      </c>
      <c r="B49" s="4">
        <v>0</v>
      </c>
      <c r="C49" s="4" t="s">
        <v>47</v>
      </c>
      <c r="D49" s="4" t="s">
        <v>4</v>
      </c>
    </row>
    <row r="50" spans="1:4" x14ac:dyDescent="0.25">
      <c r="A50" s="4">
        <v>2</v>
      </c>
      <c r="B50" s="4">
        <v>0</v>
      </c>
      <c r="C50" s="4" t="s">
        <v>48</v>
      </c>
      <c r="D50" s="4" t="s">
        <v>4</v>
      </c>
    </row>
    <row r="51" spans="1:4" x14ac:dyDescent="0.25">
      <c r="A51" s="4">
        <v>2</v>
      </c>
      <c r="B51" s="4">
        <v>0</v>
      </c>
      <c r="C51" s="4" t="s">
        <v>49</v>
      </c>
      <c r="D51" s="4" t="s">
        <v>4</v>
      </c>
    </row>
    <row r="52" spans="1:4" x14ac:dyDescent="0.25">
      <c r="A52" s="4">
        <v>2</v>
      </c>
      <c r="B52" s="4">
        <v>1</v>
      </c>
      <c r="C52" s="4" t="s">
        <v>40</v>
      </c>
      <c r="D52" s="4" t="s">
        <v>5</v>
      </c>
    </row>
    <row r="53" spans="1:4" x14ac:dyDescent="0.25">
      <c r="A53" s="4">
        <v>2</v>
      </c>
      <c r="B53" s="4">
        <v>0</v>
      </c>
      <c r="C53" s="4" t="s">
        <v>41</v>
      </c>
      <c r="D53" s="4" t="s">
        <v>5</v>
      </c>
    </row>
    <row r="54" spans="1:4" x14ac:dyDescent="0.25">
      <c r="A54" s="4">
        <v>2</v>
      </c>
      <c r="B54" s="4">
        <v>1</v>
      </c>
      <c r="C54" s="4" t="s">
        <v>42</v>
      </c>
      <c r="D54" s="4" t="s">
        <v>5</v>
      </c>
    </row>
    <row r="55" spans="1:4" x14ac:dyDescent="0.25">
      <c r="A55" s="4">
        <v>2</v>
      </c>
      <c r="B55" s="4">
        <v>0</v>
      </c>
      <c r="C55" s="4" t="s">
        <v>43</v>
      </c>
      <c r="D55" s="4" t="s">
        <v>5</v>
      </c>
    </row>
    <row r="56" spans="1:4" x14ac:dyDescent="0.25">
      <c r="A56" s="4">
        <v>2</v>
      </c>
      <c r="B56" s="4">
        <v>1</v>
      </c>
      <c r="C56" s="4" t="s">
        <v>44</v>
      </c>
      <c r="D56" s="4" t="s">
        <v>5</v>
      </c>
    </row>
    <row r="57" spans="1:4" x14ac:dyDescent="0.25">
      <c r="A57" s="4">
        <v>2</v>
      </c>
      <c r="B57" s="4">
        <v>0</v>
      </c>
      <c r="C57" s="4" t="s">
        <v>45</v>
      </c>
      <c r="D57" s="4" t="s">
        <v>5</v>
      </c>
    </row>
    <row r="58" spans="1:4" x14ac:dyDescent="0.25">
      <c r="A58" s="4">
        <v>2</v>
      </c>
      <c r="B58" s="4">
        <v>0</v>
      </c>
      <c r="C58" s="4" t="s">
        <v>46</v>
      </c>
      <c r="D58" s="4" t="s">
        <v>5</v>
      </c>
    </row>
    <row r="59" spans="1:4" x14ac:dyDescent="0.25">
      <c r="A59" s="4">
        <v>2</v>
      </c>
      <c r="B59" s="4">
        <v>0</v>
      </c>
      <c r="C59" s="4" t="s">
        <v>47</v>
      </c>
      <c r="D59" s="4" t="s">
        <v>5</v>
      </c>
    </row>
    <row r="60" spans="1:4" x14ac:dyDescent="0.25">
      <c r="A60" s="4">
        <v>2</v>
      </c>
      <c r="B60" s="4">
        <v>1</v>
      </c>
      <c r="C60" s="4" t="s">
        <v>48</v>
      </c>
      <c r="D60" s="4" t="s">
        <v>5</v>
      </c>
    </row>
    <row r="61" spans="1:4" x14ac:dyDescent="0.25">
      <c r="A61" s="4">
        <v>2</v>
      </c>
      <c r="B61" s="4">
        <v>0</v>
      </c>
      <c r="C61" s="4" t="s">
        <v>49</v>
      </c>
      <c r="D61" s="4" t="s">
        <v>5</v>
      </c>
    </row>
    <row r="62" spans="1:4" x14ac:dyDescent="0.25">
      <c r="A62" s="4">
        <v>2</v>
      </c>
      <c r="B62" s="4">
        <v>0</v>
      </c>
      <c r="C62" s="4" t="s">
        <v>40</v>
      </c>
      <c r="D62" s="4" t="s">
        <v>6</v>
      </c>
    </row>
    <row r="63" spans="1:4" x14ac:dyDescent="0.25">
      <c r="A63" s="4">
        <v>2</v>
      </c>
      <c r="B63" s="4">
        <v>1</v>
      </c>
      <c r="C63" s="4" t="s">
        <v>41</v>
      </c>
      <c r="D63" s="4" t="s">
        <v>6</v>
      </c>
    </row>
    <row r="64" spans="1:4" x14ac:dyDescent="0.25">
      <c r="A64" s="4">
        <v>2</v>
      </c>
      <c r="B64" s="4">
        <v>0</v>
      </c>
      <c r="C64" s="4" t="s">
        <v>42</v>
      </c>
      <c r="D64" s="4" t="s">
        <v>6</v>
      </c>
    </row>
    <row r="65" spans="1:4" x14ac:dyDescent="0.25">
      <c r="A65" s="4">
        <v>2</v>
      </c>
      <c r="B65" s="4">
        <v>0</v>
      </c>
      <c r="C65" s="4" t="s">
        <v>43</v>
      </c>
      <c r="D65" s="4" t="s">
        <v>6</v>
      </c>
    </row>
    <row r="66" spans="1:4" x14ac:dyDescent="0.25">
      <c r="A66" s="4">
        <v>2</v>
      </c>
      <c r="B66" s="4">
        <v>0</v>
      </c>
      <c r="C66" s="4" t="s">
        <v>44</v>
      </c>
      <c r="D66" s="4" t="s">
        <v>6</v>
      </c>
    </row>
    <row r="67" spans="1:4" x14ac:dyDescent="0.25">
      <c r="A67" s="4">
        <v>2</v>
      </c>
      <c r="B67" s="4">
        <v>0</v>
      </c>
      <c r="C67" s="4" t="s">
        <v>45</v>
      </c>
      <c r="D67" s="4" t="s">
        <v>6</v>
      </c>
    </row>
    <row r="68" spans="1:4" x14ac:dyDescent="0.25">
      <c r="A68" s="4">
        <v>2</v>
      </c>
      <c r="B68" s="4">
        <v>0</v>
      </c>
      <c r="C68" s="4" t="s">
        <v>46</v>
      </c>
      <c r="D68" s="4" t="s">
        <v>6</v>
      </c>
    </row>
    <row r="69" spans="1:4" x14ac:dyDescent="0.25">
      <c r="A69" s="4">
        <v>2</v>
      </c>
      <c r="B69" s="4">
        <v>0</v>
      </c>
      <c r="C69" s="4" t="s">
        <v>47</v>
      </c>
      <c r="D69" s="4" t="s">
        <v>6</v>
      </c>
    </row>
    <row r="70" spans="1:4" x14ac:dyDescent="0.25">
      <c r="A70" s="4">
        <v>2</v>
      </c>
      <c r="B70" s="4">
        <v>0</v>
      </c>
      <c r="C70" s="4" t="s">
        <v>48</v>
      </c>
      <c r="D70" s="4" t="s">
        <v>6</v>
      </c>
    </row>
    <row r="71" spans="1:4" x14ac:dyDescent="0.25">
      <c r="A71" s="4">
        <v>2</v>
      </c>
      <c r="B71" s="4">
        <v>1</v>
      </c>
      <c r="C71" s="4" t="s">
        <v>49</v>
      </c>
      <c r="D71" s="4" t="s">
        <v>6</v>
      </c>
    </row>
    <row r="72" spans="1:4" x14ac:dyDescent="0.25">
      <c r="A72" s="4">
        <v>2</v>
      </c>
      <c r="B72" s="4">
        <v>0</v>
      </c>
      <c r="C72" s="4" t="s">
        <v>40</v>
      </c>
      <c r="D72" s="4" t="s">
        <v>7</v>
      </c>
    </row>
    <row r="73" spans="1:4" x14ac:dyDescent="0.25">
      <c r="A73" s="4">
        <v>2</v>
      </c>
      <c r="B73" s="4">
        <v>0</v>
      </c>
      <c r="C73" s="4" t="s">
        <v>41</v>
      </c>
      <c r="D73" s="4" t="s">
        <v>7</v>
      </c>
    </row>
    <row r="74" spans="1:4" x14ac:dyDescent="0.25">
      <c r="A74" s="4">
        <v>2</v>
      </c>
      <c r="B74" s="4">
        <v>0</v>
      </c>
      <c r="C74" s="4" t="s">
        <v>42</v>
      </c>
      <c r="D74" s="4" t="s">
        <v>7</v>
      </c>
    </row>
    <row r="75" spans="1:4" x14ac:dyDescent="0.25">
      <c r="A75" s="4">
        <v>2</v>
      </c>
      <c r="B75" s="4">
        <v>0</v>
      </c>
      <c r="C75" s="4" t="s">
        <v>43</v>
      </c>
      <c r="D75" s="4" t="s">
        <v>7</v>
      </c>
    </row>
    <row r="76" spans="1:4" x14ac:dyDescent="0.25">
      <c r="A76" s="4">
        <v>2</v>
      </c>
      <c r="B76" s="4">
        <v>0</v>
      </c>
      <c r="C76" s="4" t="s">
        <v>44</v>
      </c>
      <c r="D76" s="4" t="s">
        <v>7</v>
      </c>
    </row>
    <row r="77" spans="1:4" x14ac:dyDescent="0.25">
      <c r="A77" s="4">
        <v>2</v>
      </c>
      <c r="B77" s="4">
        <v>0</v>
      </c>
      <c r="C77" s="4" t="s">
        <v>45</v>
      </c>
      <c r="D77" s="4" t="s">
        <v>7</v>
      </c>
    </row>
    <row r="78" spans="1:4" x14ac:dyDescent="0.25">
      <c r="A78" s="4">
        <v>2</v>
      </c>
      <c r="B78" s="4">
        <v>1</v>
      </c>
      <c r="C78" s="4" t="s">
        <v>46</v>
      </c>
      <c r="D78" s="4" t="s">
        <v>7</v>
      </c>
    </row>
    <row r="79" spans="1:4" x14ac:dyDescent="0.25">
      <c r="A79" s="4">
        <v>2</v>
      </c>
      <c r="B79" s="4">
        <v>1</v>
      </c>
      <c r="C79" s="4" t="s">
        <v>47</v>
      </c>
      <c r="D79" s="4" t="s">
        <v>7</v>
      </c>
    </row>
    <row r="80" spans="1:4" x14ac:dyDescent="0.25">
      <c r="A80" s="4">
        <v>2</v>
      </c>
      <c r="B80" s="4">
        <v>0</v>
      </c>
      <c r="C80" s="4" t="s">
        <v>48</v>
      </c>
      <c r="D80" s="4" t="s">
        <v>7</v>
      </c>
    </row>
    <row r="81" spans="1:4" x14ac:dyDescent="0.25">
      <c r="A81" s="4">
        <v>2</v>
      </c>
      <c r="B81" s="4">
        <v>0</v>
      </c>
      <c r="C81" s="4" t="s">
        <v>49</v>
      </c>
      <c r="D81" s="4" t="s">
        <v>7</v>
      </c>
    </row>
    <row r="82" spans="1:4" x14ac:dyDescent="0.25">
      <c r="A82" s="4">
        <v>3</v>
      </c>
      <c r="B82" s="4">
        <v>1</v>
      </c>
      <c r="C82" s="4" t="s">
        <v>40</v>
      </c>
      <c r="D82" s="4" t="s">
        <v>4</v>
      </c>
    </row>
    <row r="83" spans="1:4" x14ac:dyDescent="0.25">
      <c r="A83" s="4">
        <v>3</v>
      </c>
      <c r="B83" s="4">
        <v>0</v>
      </c>
      <c r="C83" s="4" t="s">
        <v>41</v>
      </c>
      <c r="D83" s="4" t="s">
        <v>4</v>
      </c>
    </row>
    <row r="84" spans="1:4" x14ac:dyDescent="0.25">
      <c r="A84" s="4">
        <v>3</v>
      </c>
      <c r="B84" s="4">
        <v>1</v>
      </c>
      <c r="C84" s="4" t="s">
        <v>42</v>
      </c>
      <c r="D84" s="4" t="s">
        <v>4</v>
      </c>
    </row>
    <row r="85" spans="1:4" x14ac:dyDescent="0.25">
      <c r="A85" s="4">
        <v>3</v>
      </c>
      <c r="B85" s="4">
        <v>1</v>
      </c>
      <c r="C85" s="4" t="s">
        <v>43</v>
      </c>
      <c r="D85" s="4" t="s">
        <v>4</v>
      </c>
    </row>
    <row r="86" spans="1:4" x14ac:dyDescent="0.25">
      <c r="A86" s="4">
        <v>3</v>
      </c>
      <c r="B86" s="4">
        <v>0</v>
      </c>
      <c r="C86" s="4" t="s">
        <v>44</v>
      </c>
      <c r="D86" s="4" t="s">
        <v>4</v>
      </c>
    </row>
    <row r="87" spans="1:4" x14ac:dyDescent="0.25">
      <c r="A87" s="4">
        <v>3</v>
      </c>
      <c r="B87" s="4">
        <v>0</v>
      </c>
      <c r="C87" s="4" t="s">
        <v>45</v>
      </c>
      <c r="D87" s="4" t="s">
        <v>4</v>
      </c>
    </row>
    <row r="88" spans="1:4" x14ac:dyDescent="0.25">
      <c r="A88" s="4">
        <v>3</v>
      </c>
      <c r="B88" s="4">
        <v>0</v>
      </c>
      <c r="C88" s="4" t="s">
        <v>46</v>
      </c>
      <c r="D88" s="4" t="s">
        <v>4</v>
      </c>
    </row>
    <row r="89" spans="1:4" x14ac:dyDescent="0.25">
      <c r="A89" s="4">
        <v>3</v>
      </c>
      <c r="B89" s="4">
        <v>0</v>
      </c>
      <c r="C89" s="4" t="s">
        <v>47</v>
      </c>
      <c r="D89" s="4" t="s">
        <v>4</v>
      </c>
    </row>
    <row r="90" spans="1:4" x14ac:dyDescent="0.25">
      <c r="A90" s="4">
        <v>3</v>
      </c>
      <c r="B90" s="4">
        <v>0</v>
      </c>
      <c r="C90" s="4" t="s">
        <v>48</v>
      </c>
      <c r="D90" s="4" t="s">
        <v>4</v>
      </c>
    </row>
    <row r="91" spans="1:4" x14ac:dyDescent="0.25">
      <c r="A91" s="4">
        <v>3</v>
      </c>
      <c r="B91" s="4">
        <v>0</v>
      </c>
      <c r="C91" s="4" t="s">
        <v>49</v>
      </c>
      <c r="D91" s="4" t="s">
        <v>4</v>
      </c>
    </row>
    <row r="92" spans="1:4" x14ac:dyDescent="0.25">
      <c r="A92" s="4">
        <v>3</v>
      </c>
      <c r="B92" s="4">
        <v>0</v>
      </c>
      <c r="C92" s="4" t="s">
        <v>40</v>
      </c>
      <c r="D92" s="4" t="s">
        <v>5</v>
      </c>
    </row>
    <row r="93" spans="1:4" x14ac:dyDescent="0.25">
      <c r="A93" s="4">
        <v>3</v>
      </c>
      <c r="B93" s="4">
        <v>0</v>
      </c>
      <c r="C93" s="4" t="s">
        <v>41</v>
      </c>
      <c r="D93" s="4" t="s">
        <v>5</v>
      </c>
    </row>
    <row r="94" spans="1:4" x14ac:dyDescent="0.25">
      <c r="A94" s="4">
        <v>3</v>
      </c>
      <c r="B94" s="4">
        <v>0</v>
      </c>
      <c r="C94" s="4" t="s">
        <v>42</v>
      </c>
      <c r="D94" s="4" t="s">
        <v>5</v>
      </c>
    </row>
    <row r="95" spans="1:4" x14ac:dyDescent="0.25">
      <c r="A95" s="4">
        <v>3</v>
      </c>
      <c r="B95" s="4">
        <v>0</v>
      </c>
      <c r="C95" s="4" t="s">
        <v>43</v>
      </c>
      <c r="D95" s="4" t="s">
        <v>5</v>
      </c>
    </row>
    <row r="96" spans="1:4" x14ac:dyDescent="0.25">
      <c r="A96" s="4">
        <v>3</v>
      </c>
      <c r="B96" s="4">
        <v>0</v>
      </c>
      <c r="C96" s="4" t="s">
        <v>44</v>
      </c>
      <c r="D96" s="4" t="s">
        <v>5</v>
      </c>
    </row>
    <row r="97" spans="1:4" x14ac:dyDescent="0.25">
      <c r="A97" s="4">
        <v>3</v>
      </c>
      <c r="B97" s="4">
        <v>1</v>
      </c>
      <c r="C97" s="4" t="s">
        <v>45</v>
      </c>
      <c r="D97" s="4" t="s">
        <v>5</v>
      </c>
    </row>
    <row r="98" spans="1:4" x14ac:dyDescent="0.25">
      <c r="A98" s="4">
        <v>3</v>
      </c>
      <c r="B98" s="4">
        <v>0</v>
      </c>
      <c r="C98" s="4" t="s">
        <v>46</v>
      </c>
      <c r="D98" s="4" t="s">
        <v>5</v>
      </c>
    </row>
    <row r="99" spans="1:4" x14ac:dyDescent="0.25">
      <c r="A99" s="4">
        <v>3</v>
      </c>
      <c r="B99" s="4">
        <v>1</v>
      </c>
      <c r="C99" s="4" t="s">
        <v>47</v>
      </c>
      <c r="D99" s="4" t="s">
        <v>5</v>
      </c>
    </row>
    <row r="100" spans="1:4" x14ac:dyDescent="0.25">
      <c r="A100" s="4">
        <v>3</v>
      </c>
      <c r="B100" s="4">
        <v>0</v>
      </c>
      <c r="C100" s="4" t="s">
        <v>48</v>
      </c>
      <c r="D100" s="4" t="s">
        <v>5</v>
      </c>
    </row>
    <row r="101" spans="1:4" x14ac:dyDescent="0.25">
      <c r="A101" s="4">
        <v>3</v>
      </c>
      <c r="B101" s="4">
        <v>1</v>
      </c>
      <c r="C101" s="4" t="s">
        <v>49</v>
      </c>
      <c r="D101" s="4" t="s">
        <v>5</v>
      </c>
    </row>
    <row r="102" spans="1:4" x14ac:dyDescent="0.25">
      <c r="A102" s="4">
        <v>3</v>
      </c>
      <c r="B102" s="4">
        <v>0</v>
      </c>
      <c r="C102" s="4" t="s">
        <v>40</v>
      </c>
      <c r="D102" s="4" t="s">
        <v>6</v>
      </c>
    </row>
    <row r="103" spans="1:4" x14ac:dyDescent="0.25">
      <c r="A103" s="4">
        <v>3</v>
      </c>
      <c r="B103" s="4">
        <v>0</v>
      </c>
      <c r="C103" s="4" t="s">
        <v>41</v>
      </c>
      <c r="D103" s="4" t="s">
        <v>6</v>
      </c>
    </row>
    <row r="104" spans="1:4" x14ac:dyDescent="0.25">
      <c r="A104" s="4">
        <v>3</v>
      </c>
      <c r="B104" s="4">
        <v>0</v>
      </c>
      <c r="C104" s="4" t="s">
        <v>42</v>
      </c>
      <c r="D104" s="4" t="s">
        <v>6</v>
      </c>
    </row>
    <row r="105" spans="1:4" x14ac:dyDescent="0.25">
      <c r="A105" s="4">
        <v>3</v>
      </c>
      <c r="B105" s="4">
        <v>0</v>
      </c>
      <c r="C105" s="4" t="s">
        <v>43</v>
      </c>
      <c r="D105" s="4" t="s">
        <v>6</v>
      </c>
    </row>
    <row r="106" spans="1:4" x14ac:dyDescent="0.25">
      <c r="A106" s="4">
        <v>3</v>
      </c>
      <c r="B106" s="4">
        <v>1</v>
      </c>
      <c r="C106" s="4" t="s">
        <v>44</v>
      </c>
      <c r="D106" s="4" t="s">
        <v>6</v>
      </c>
    </row>
    <row r="107" spans="1:4" x14ac:dyDescent="0.25">
      <c r="A107" s="4">
        <v>3</v>
      </c>
      <c r="B107" s="4">
        <v>0</v>
      </c>
      <c r="C107" s="4" t="s">
        <v>45</v>
      </c>
      <c r="D107" s="4" t="s">
        <v>6</v>
      </c>
    </row>
    <row r="108" spans="1:4" x14ac:dyDescent="0.25">
      <c r="A108" s="4">
        <v>3</v>
      </c>
      <c r="B108" s="4">
        <v>1</v>
      </c>
      <c r="C108" s="4" t="s">
        <v>46</v>
      </c>
      <c r="D108" s="4" t="s">
        <v>6</v>
      </c>
    </row>
    <row r="109" spans="1:4" x14ac:dyDescent="0.25">
      <c r="A109" s="4">
        <v>3</v>
      </c>
      <c r="B109" s="4">
        <v>0</v>
      </c>
      <c r="C109" s="4" t="s">
        <v>47</v>
      </c>
      <c r="D109" s="4" t="s">
        <v>6</v>
      </c>
    </row>
    <row r="110" spans="1:4" x14ac:dyDescent="0.25">
      <c r="A110" s="4">
        <v>3</v>
      </c>
      <c r="B110" s="4">
        <v>1</v>
      </c>
      <c r="C110" s="4" t="s">
        <v>48</v>
      </c>
      <c r="D110" s="4" t="s">
        <v>6</v>
      </c>
    </row>
    <row r="111" spans="1:4" x14ac:dyDescent="0.25">
      <c r="A111" s="4">
        <v>3</v>
      </c>
      <c r="B111" s="4">
        <v>0</v>
      </c>
      <c r="C111" s="4" t="s">
        <v>49</v>
      </c>
      <c r="D111" s="4" t="s">
        <v>6</v>
      </c>
    </row>
    <row r="112" spans="1:4" x14ac:dyDescent="0.25">
      <c r="A112" s="4">
        <v>3</v>
      </c>
      <c r="B112" s="4">
        <v>0</v>
      </c>
      <c r="C112" s="4" t="s">
        <v>40</v>
      </c>
      <c r="D112" s="4" t="s">
        <v>7</v>
      </c>
    </row>
    <row r="113" spans="1:4" x14ac:dyDescent="0.25">
      <c r="A113" s="4">
        <v>3</v>
      </c>
      <c r="B113" s="4">
        <v>1</v>
      </c>
      <c r="C113" s="4" t="s">
        <v>41</v>
      </c>
      <c r="D113" s="4" t="s">
        <v>7</v>
      </c>
    </row>
    <row r="114" spans="1:4" x14ac:dyDescent="0.25">
      <c r="A114" s="4">
        <v>3</v>
      </c>
      <c r="B114" s="4">
        <v>0</v>
      </c>
      <c r="C114" s="4" t="s">
        <v>42</v>
      </c>
      <c r="D114" s="4" t="s">
        <v>7</v>
      </c>
    </row>
    <row r="115" spans="1:4" x14ac:dyDescent="0.25">
      <c r="A115" s="4">
        <v>3</v>
      </c>
      <c r="B115" s="4">
        <v>0</v>
      </c>
      <c r="C115" s="4" t="s">
        <v>43</v>
      </c>
      <c r="D115" s="4" t="s">
        <v>7</v>
      </c>
    </row>
    <row r="116" spans="1:4" x14ac:dyDescent="0.25">
      <c r="A116" s="4">
        <v>3</v>
      </c>
      <c r="B116" s="4">
        <v>0</v>
      </c>
      <c r="C116" s="4" t="s">
        <v>44</v>
      </c>
      <c r="D116" s="4" t="s">
        <v>7</v>
      </c>
    </row>
    <row r="117" spans="1:4" x14ac:dyDescent="0.25">
      <c r="A117" s="4">
        <v>3</v>
      </c>
      <c r="B117" s="4">
        <v>0</v>
      </c>
      <c r="C117" s="4" t="s">
        <v>45</v>
      </c>
      <c r="D117" s="4" t="s">
        <v>7</v>
      </c>
    </row>
    <row r="118" spans="1:4" x14ac:dyDescent="0.25">
      <c r="A118" s="4">
        <v>3</v>
      </c>
      <c r="B118" s="4">
        <v>0</v>
      </c>
      <c r="C118" s="4" t="s">
        <v>46</v>
      </c>
      <c r="D118" s="4" t="s">
        <v>7</v>
      </c>
    </row>
    <row r="119" spans="1:4" x14ac:dyDescent="0.25">
      <c r="A119" s="4">
        <v>3</v>
      </c>
      <c r="B119" s="4">
        <v>0</v>
      </c>
      <c r="C119" s="4" t="s">
        <v>47</v>
      </c>
      <c r="D119" s="4" t="s">
        <v>7</v>
      </c>
    </row>
    <row r="120" spans="1:4" x14ac:dyDescent="0.25">
      <c r="A120" s="4">
        <v>3</v>
      </c>
      <c r="B120" s="4">
        <v>0</v>
      </c>
      <c r="C120" s="4" t="s">
        <v>48</v>
      </c>
      <c r="D120" s="4" t="s">
        <v>7</v>
      </c>
    </row>
    <row r="121" spans="1:4" x14ac:dyDescent="0.25">
      <c r="A121" s="4">
        <v>3</v>
      </c>
      <c r="B121" s="4">
        <v>0</v>
      </c>
      <c r="C121" s="4" t="s">
        <v>49</v>
      </c>
      <c r="D121" s="4" t="s">
        <v>7</v>
      </c>
    </row>
    <row r="122" spans="1:4" x14ac:dyDescent="0.25">
      <c r="A122" s="4">
        <v>4</v>
      </c>
      <c r="B122" s="4">
        <v>0</v>
      </c>
      <c r="C122" s="4" t="s">
        <v>40</v>
      </c>
      <c r="D122" s="4" t="s">
        <v>4</v>
      </c>
    </row>
    <row r="123" spans="1:4" x14ac:dyDescent="0.25">
      <c r="A123" s="4">
        <v>4</v>
      </c>
      <c r="B123" s="4">
        <v>0</v>
      </c>
      <c r="C123" s="4" t="s">
        <v>41</v>
      </c>
      <c r="D123" s="4" t="s">
        <v>4</v>
      </c>
    </row>
    <row r="124" spans="1:4" x14ac:dyDescent="0.25">
      <c r="A124" s="4">
        <v>4</v>
      </c>
      <c r="B124" s="4">
        <v>0</v>
      </c>
      <c r="C124" s="4" t="s">
        <v>42</v>
      </c>
      <c r="D124" s="4" t="s">
        <v>4</v>
      </c>
    </row>
    <row r="125" spans="1:4" x14ac:dyDescent="0.25">
      <c r="A125" s="4">
        <v>4</v>
      </c>
      <c r="B125" s="4">
        <v>1</v>
      </c>
      <c r="C125" s="4" t="s">
        <v>43</v>
      </c>
      <c r="D125" s="4" t="s">
        <v>4</v>
      </c>
    </row>
    <row r="126" spans="1:4" x14ac:dyDescent="0.25">
      <c r="A126" s="4">
        <v>4</v>
      </c>
      <c r="B126" s="4">
        <v>0</v>
      </c>
      <c r="C126" s="4" t="s">
        <v>44</v>
      </c>
      <c r="D126" s="4" t="s">
        <v>4</v>
      </c>
    </row>
    <row r="127" spans="1:4" x14ac:dyDescent="0.25">
      <c r="A127" s="4">
        <v>4</v>
      </c>
      <c r="B127" s="4">
        <v>1</v>
      </c>
      <c r="C127" s="4" t="s">
        <v>45</v>
      </c>
      <c r="D127" s="4" t="s">
        <v>4</v>
      </c>
    </row>
    <row r="128" spans="1:4" x14ac:dyDescent="0.25">
      <c r="A128" s="4">
        <v>4</v>
      </c>
      <c r="B128" s="4">
        <v>0</v>
      </c>
      <c r="C128" s="4" t="s">
        <v>46</v>
      </c>
      <c r="D128" s="4" t="s">
        <v>4</v>
      </c>
    </row>
    <row r="129" spans="1:4" x14ac:dyDescent="0.25">
      <c r="A129" s="4">
        <v>4</v>
      </c>
      <c r="B129" s="4">
        <v>0</v>
      </c>
      <c r="C129" s="4" t="s">
        <v>47</v>
      </c>
      <c r="D129" s="4" t="s">
        <v>4</v>
      </c>
    </row>
    <row r="130" spans="1:4" x14ac:dyDescent="0.25">
      <c r="A130" s="4">
        <v>4</v>
      </c>
      <c r="B130" s="4">
        <v>0</v>
      </c>
      <c r="C130" s="4" t="s">
        <v>48</v>
      </c>
      <c r="D130" s="4" t="s">
        <v>4</v>
      </c>
    </row>
    <row r="131" spans="1:4" x14ac:dyDescent="0.25">
      <c r="A131" s="4">
        <v>4</v>
      </c>
      <c r="B131" s="4">
        <v>0</v>
      </c>
      <c r="C131" s="4" t="s">
        <v>49</v>
      </c>
      <c r="D131" s="4" t="s">
        <v>4</v>
      </c>
    </row>
    <row r="132" spans="1:4" x14ac:dyDescent="0.25">
      <c r="A132" s="4">
        <v>4</v>
      </c>
      <c r="B132" s="4">
        <v>1</v>
      </c>
      <c r="C132" s="4" t="s">
        <v>40</v>
      </c>
      <c r="D132" s="4" t="s">
        <v>5</v>
      </c>
    </row>
    <row r="133" spans="1:4" x14ac:dyDescent="0.25">
      <c r="A133" s="4">
        <v>4</v>
      </c>
      <c r="B133" s="4">
        <v>0</v>
      </c>
      <c r="C133" s="4" t="s">
        <v>41</v>
      </c>
      <c r="D133" s="4" t="s">
        <v>5</v>
      </c>
    </row>
    <row r="134" spans="1:4" x14ac:dyDescent="0.25">
      <c r="A134" s="4">
        <v>4</v>
      </c>
      <c r="B134" s="4">
        <v>1</v>
      </c>
      <c r="C134" s="4" t="s">
        <v>42</v>
      </c>
      <c r="D134" s="4" t="s">
        <v>5</v>
      </c>
    </row>
    <row r="135" spans="1:4" x14ac:dyDescent="0.25">
      <c r="A135" s="4">
        <v>4</v>
      </c>
      <c r="B135" s="4">
        <v>0</v>
      </c>
      <c r="C135" s="4" t="s">
        <v>43</v>
      </c>
      <c r="D135" s="4" t="s">
        <v>5</v>
      </c>
    </row>
    <row r="136" spans="1:4" x14ac:dyDescent="0.25">
      <c r="A136" s="4">
        <v>4</v>
      </c>
      <c r="B136" s="4">
        <v>1</v>
      </c>
      <c r="C136" s="4" t="s">
        <v>44</v>
      </c>
      <c r="D136" s="4" t="s">
        <v>5</v>
      </c>
    </row>
    <row r="137" spans="1:4" x14ac:dyDescent="0.25">
      <c r="A137" s="4">
        <v>4</v>
      </c>
      <c r="B137" s="4">
        <v>0</v>
      </c>
      <c r="C137" s="4" t="s">
        <v>45</v>
      </c>
      <c r="D137" s="4" t="s">
        <v>5</v>
      </c>
    </row>
    <row r="138" spans="1:4" x14ac:dyDescent="0.25">
      <c r="A138" s="4">
        <v>4</v>
      </c>
      <c r="B138" s="4">
        <v>0</v>
      </c>
      <c r="C138" s="4" t="s">
        <v>46</v>
      </c>
      <c r="D138" s="4" t="s">
        <v>5</v>
      </c>
    </row>
    <row r="139" spans="1:4" x14ac:dyDescent="0.25">
      <c r="A139" s="4">
        <v>4</v>
      </c>
      <c r="B139" s="4">
        <v>0</v>
      </c>
      <c r="C139" s="4" t="s">
        <v>47</v>
      </c>
      <c r="D139" s="4" t="s">
        <v>5</v>
      </c>
    </row>
    <row r="140" spans="1:4" x14ac:dyDescent="0.25">
      <c r="A140" s="4">
        <v>4</v>
      </c>
      <c r="B140" s="4">
        <v>1</v>
      </c>
      <c r="C140" s="4" t="s">
        <v>48</v>
      </c>
      <c r="D140" s="4" t="s">
        <v>5</v>
      </c>
    </row>
    <row r="141" spans="1:4" x14ac:dyDescent="0.25">
      <c r="A141" s="4">
        <v>4</v>
      </c>
      <c r="B141" s="4">
        <v>0</v>
      </c>
      <c r="C141" s="4" t="s">
        <v>49</v>
      </c>
      <c r="D141" s="4" t="s">
        <v>5</v>
      </c>
    </row>
    <row r="142" spans="1:4" x14ac:dyDescent="0.25">
      <c r="A142" s="4">
        <v>4</v>
      </c>
      <c r="B142" s="4">
        <v>0</v>
      </c>
      <c r="C142" s="4" t="s">
        <v>40</v>
      </c>
      <c r="D142" s="4" t="s">
        <v>6</v>
      </c>
    </row>
    <row r="143" spans="1:4" x14ac:dyDescent="0.25">
      <c r="A143" s="4">
        <v>4</v>
      </c>
      <c r="B143" s="4">
        <v>1</v>
      </c>
      <c r="C143" s="4" t="s">
        <v>41</v>
      </c>
      <c r="D143" s="4" t="s">
        <v>6</v>
      </c>
    </row>
    <row r="144" spans="1:4" x14ac:dyDescent="0.25">
      <c r="A144" s="4">
        <v>4</v>
      </c>
      <c r="B144" s="4">
        <v>0</v>
      </c>
      <c r="C144" s="4" t="s">
        <v>42</v>
      </c>
      <c r="D144" s="4" t="s">
        <v>6</v>
      </c>
    </row>
    <row r="145" spans="1:4" x14ac:dyDescent="0.25">
      <c r="A145" s="4">
        <v>4</v>
      </c>
      <c r="B145" s="4">
        <v>0</v>
      </c>
      <c r="C145" s="4" t="s">
        <v>43</v>
      </c>
      <c r="D145" s="4" t="s">
        <v>6</v>
      </c>
    </row>
    <row r="146" spans="1:4" x14ac:dyDescent="0.25">
      <c r="A146" s="4">
        <v>4</v>
      </c>
      <c r="B146" s="4">
        <v>0</v>
      </c>
      <c r="C146" s="4" t="s">
        <v>44</v>
      </c>
      <c r="D146" s="4" t="s">
        <v>6</v>
      </c>
    </row>
    <row r="147" spans="1:4" x14ac:dyDescent="0.25">
      <c r="A147" s="4">
        <v>4</v>
      </c>
      <c r="B147" s="4">
        <v>0</v>
      </c>
      <c r="C147" s="4" t="s">
        <v>45</v>
      </c>
      <c r="D147" s="4" t="s">
        <v>6</v>
      </c>
    </row>
    <row r="148" spans="1:4" x14ac:dyDescent="0.25">
      <c r="A148" s="4">
        <v>4</v>
      </c>
      <c r="B148" s="4">
        <v>0</v>
      </c>
      <c r="C148" s="4" t="s">
        <v>46</v>
      </c>
      <c r="D148" s="4" t="s">
        <v>6</v>
      </c>
    </row>
    <row r="149" spans="1:4" x14ac:dyDescent="0.25">
      <c r="A149" s="4">
        <v>4</v>
      </c>
      <c r="B149" s="4">
        <v>0</v>
      </c>
      <c r="C149" s="4" t="s">
        <v>47</v>
      </c>
      <c r="D149" s="4" t="s">
        <v>6</v>
      </c>
    </row>
    <row r="150" spans="1:4" x14ac:dyDescent="0.25">
      <c r="A150" s="4">
        <v>4</v>
      </c>
      <c r="B150" s="4">
        <v>0</v>
      </c>
      <c r="C150" s="4" t="s">
        <v>48</v>
      </c>
      <c r="D150" s="4" t="s">
        <v>6</v>
      </c>
    </row>
    <row r="151" spans="1:4" x14ac:dyDescent="0.25">
      <c r="A151" s="4">
        <v>4</v>
      </c>
      <c r="B151" s="4">
        <v>1</v>
      </c>
      <c r="C151" s="4" t="s">
        <v>49</v>
      </c>
      <c r="D151" s="4" t="s">
        <v>6</v>
      </c>
    </row>
    <row r="152" spans="1:4" x14ac:dyDescent="0.25">
      <c r="A152" s="4">
        <v>4</v>
      </c>
      <c r="B152" s="4">
        <v>0</v>
      </c>
      <c r="C152" s="4" t="s">
        <v>40</v>
      </c>
      <c r="D152" s="4" t="s">
        <v>7</v>
      </c>
    </row>
    <row r="153" spans="1:4" x14ac:dyDescent="0.25">
      <c r="A153" s="4">
        <v>4</v>
      </c>
      <c r="B153" s="4">
        <v>0</v>
      </c>
      <c r="C153" s="4" t="s">
        <v>41</v>
      </c>
      <c r="D153" s="4" t="s">
        <v>7</v>
      </c>
    </row>
    <row r="154" spans="1:4" x14ac:dyDescent="0.25">
      <c r="A154" s="4">
        <v>4</v>
      </c>
      <c r="B154" s="4">
        <v>0</v>
      </c>
      <c r="C154" s="4" t="s">
        <v>42</v>
      </c>
      <c r="D154" s="4" t="s">
        <v>7</v>
      </c>
    </row>
    <row r="155" spans="1:4" x14ac:dyDescent="0.25">
      <c r="A155" s="4">
        <v>4</v>
      </c>
      <c r="B155" s="4">
        <v>0</v>
      </c>
      <c r="C155" s="4" t="s">
        <v>43</v>
      </c>
      <c r="D155" s="4" t="s">
        <v>7</v>
      </c>
    </row>
    <row r="156" spans="1:4" x14ac:dyDescent="0.25">
      <c r="A156" s="4">
        <v>4</v>
      </c>
      <c r="B156" s="4">
        <v>0</v>
      </c>
      <c r="C156" s="4" t="s">
        <v>44</v>
      </c>
      <c r="D156" s="4" t="s">
        <v>7</v>
      </c>
    </row>
    <row r="157" spans="1:4" x14ac:dyDescent="0.25">
      <c r="A157" s="4">
        <v>4</v>
      </c>
      <c r="B157" s="4">
        <v>0</v>
      </c>
      <c r="C157" s="4" t="s">
        <v>45</v>
      </c>
      <c r="D157" s="4" t="s">
        <v>7</v>
      </c>
    </row>
    <row r="158" spans="1:4" x14ac:dyDescent="0.25">
      <c r="A158" s="4">
        <v>4</v>
      </c>
      <c r="B158" s="4">
        <v>1</v>
      </c>
      <c r="C158" s="4" t="s">
        <v>46</v>
      </c>
      <c r="D158" s="4" t="s">
        <v>7</v>
      </c>
    </row>
    <row r="159" spans="1:4" x14ac:dyDescent="0.25">
      <c r="A159" s="4">
        <v>4</v>
      </c>
      <c r="B159" s="4">
        <v>1</v>
      </c>
      <c r="C159" s="4" t="s">
        <v>47</v>
      </c>
      <c r="D159" s="4" t="s">
        <v>7</v>
      </c>
    </row>
    <row r="160" spans="1:4" x14ac:dyDescent="0.25">
      <c r="A160" s="4">
        <v>4</v>
      </c>
      <c r="B160" s="4">
        <v>0</v>
      </c>
      <c r="C160" s="4" t="s">
        <v>48</v>
      </c>
      <c r="D160" s="4" t="s">
        <v>7</v>
      </c>
    </row>
    <row r="161" spans="1:4" x14ac:dyDescent="0.25">
      <c r="A161" s="4">
        <v>4</v>
      </c>
      <c r="B161" s="4">
        <v>0</v>
      </c>
      <c r="C161" s="4" t="s">
        <v>49</v>
      </c>
      <c r="D161" s="4" t="s">
        <v>7</v>
      </c>
    </row>
    <row r="162" spans="1:4" x14ac:dyDescent="0.25">
      <c r="A162" s="4">
        <v>5</v>
      </c>
      <c r="B162" s="4">
        <v>0</v>
      </c>
      <c r="C162" s="4" t="s">
        <v>40</v>
      </c>
      <c r="D162" s="4" t="s">
        <v>4</v>
      </c>
    </row>
    <row r="163" spans="1:4" x14ac:dyDescent="0.25">
      <c r="A163" s="4">
        <v>5</v>
      </c>
      <c r="B163" s="4">
        <v>0</v>
      </c>
      <c r="C163" s="4" t="s">
        <v>41</v>
      </c>
      <c r="D163" s="4" t="s">
        <v>4</v>
      </c>
    </row>
    <row r="164" spans="1:4" x14ac:dyDescent="0.25">
      <c r="A164" s="4">
        <v>5</v>
      </c>
      <c r="B164" s="4">
        <v>0</v>
      </c>
      <c r="C164" s="4" t="s">
        <v>42</v>
      </c>
      <c r="D164" s="4" t="s">
        <v>4</v>
      </c>
    </row>
    <row r="165" spans="1:4" x14ac:dyDescent="0.25">
      <c r="A165" s="4">
        <v>5</v>
      </c>
      <c r="B165" s="4">
        <v>0</v>
      </c>
      <c r="C165" s="4" t="s">
        <v>43</v>
      </c>
      <c r="D165" s="4" t="s">
        <v>4</v>
      </c>
    </row>
    <row r="166" spans="1:4" x14ac:dyDescent="0.25">
      <c r="A166" s="4">
        <v>5</v>
      </c>
      <c r="B166" s="4">
        <v>0</v>
      </c>
      <c r="C166" s="4" t="s">
        <v>44</v>
      </c>
      <c r="D166" s="4" t="s">
        <v>4</v>
      </c>
    </row>
    <row r="167" spans="1:4" x14ac:dyDescent="0.25">
      <c r="A167" s="4">
        <v>5</v>
      </c>
      <c r="B167" s="4">
        <v>1</v>
      </c>
      <c r="C167" s="4" t="s">
        <v>45</v>
      </c>
      <c r="D167" s="4" t="s">
        <v>4</v>
      </c>
    </row>
    <row r="168" spans="1:4" x14ac:dyDescent="0.25">
      <c r="A168" s="4">
        <v>5</v>
      </c>
      <c r="B168" s="4">
        <v>0</v>
      </c>
      <c r="C168" s="4" t="s">
        <v>46</v>
      </c>
      <c r="D168" s="4" t="s">
        <v>4</v>
      </c>
    </row>
    <row r="169" spans="1:4" x14ac:dyDescent="0.25">
      <c r="A169" s="4">
        <v>5</v>
      </c>
      <c r="B169" s="4">
        <v>0</v>
      </c>
      <c r="C169" s="4" t="s">
        <v>47</v>
      </c>
      <c r="D169" s="4" t="s">
        <v>4</v>
      </c>
    </row>
    <row r="170" spans="1:4" x14ac:dyDescent="0.25">
      <c r="A170" s="4">
        <v>5</v>
      </c>
      <c r="B170" s="4">
        <v>1</v>
      </c>
      <c r="C170" s="4" t="s">
        <v>48</v>
      </c>
      <c r="D170" s="4" t="s">
        <v>4</v>
      </c>
    </row>
    <row r="171" spans="1:4" x14ac:dyDescent="0.25">
      <c r="A171" s="4">
        <v>5</v>
      </c>
      <c r="B171" s="4">
        <v>0</v>
      </c>
      <c r="C171" s="4" t="s">
        <v>49</v>
      </c>
      <c r="D171" s="4" t="s">
        <v>4</v>
      </c>
    </row>
    <row r="172" spans="1:4" x14ac:dyDescent="0.25">
      <c r="A172" s="4">
        <v>5</v>
      </c>
      <c r="B172" s="4">
        <v>0</v>
      </c>
      <c r="C172" s="4" t="s">
        <v>40</v>
      </c>
      <c r="D172" s="4" t="s">
        <v>5</v>
      </c>
    </row>
    <row r="173" spans="1:4" x14ac:dyDescent="0.25">
      <c r="A173" s="4">
        <v>5</v>
      </c>
      <c r="B173" s="4">
        <v>0</v>
      </c>
      <c r="C173" s="4" t="s">
        <v>41</v>
      </c>
      <c r="D173" s="4" t="s">
        <v>5</v>
      </c>
    </row>
    <row r="174" spans="1:4" x14ac:dyDescent="0.25">
      <c r="A174" s="4">
        <v>5</v>
      </c>
      <c r="B174" s="4">
        <v>1</v>
      </c>
      <c r="C174" s="4" t="s">
        <v>42</v>
      </c>
      <c r="D174" s="4" t="s">
        <v>5</v>
      </c>
    </row>
    <row r="175" spans="1:4" x14ac:dyDescent="0.25">
      <c r="A175" s="4">
        <v>5</v>
      </c>
      <c r="B175" s="4">
        <v>0</v>
      </c>
      <c r="C175" s="4" t="s">
        <v>43</v>
      </c>
      <c r="D175" s="4" t="s">
        <v>5</v>
      </c>
    </row>
    <row r="176" spans="1:4" x14ac:dyDescent="0.25">
      <c r="A176" s="4">
        <v>5</v>
      </c>
      <c r="B176" s="4">
        <v>1</v>
      </c>
      <c r="C176" s="4" t="s">
        <v>44</v>
      </c>
      <c r="D176" s="4" t="s">
        <v>5</v>
      </c>
    </row>
    <row r="177" spans="1:4" x14ac:dyDescent="0.25">
      <c r="A177" s="4">
        <v>5</v>
      </c>
      <c r="B177" s="4">
        <v>0</v>
      </c>
      <c r="C177" s="4" t="s">
        <v>45</v>
      </c>
      <c r="D177" s="4" t="s">
        <v>5</v>
      </c>
    </row>
    <row r="178" spans="1:4" x14ac:dyDescent="0.25">
      <c r="A178" s="4">
        <v>5</v>
      </c>
      <c r="B178" s="4">
        <v>0</v>
      </c>
      <c r="C178" s="4" t="s">
        <v>46</v>
      </c>
      <c r="D178" s="4" t="s">
        <v>5</v>
      </c>
    </row>
    <row r="179" spans="1:4" x14ac:dyDescent="0.25">
      <c r="A179" s="4">
        <v>5</v>
      </c>
      <c r="B179" s="4">
        <v>1</v>
      </c>
      <c r="C179" s="4" t="s">
        <v>47</v>
      </c>
      <c r="D179" s="4" t="s">
        <v>5</v>
      </c>
    </row>
    <row r="180" spans="1:4" x14ac:dyDescent="0.25">
      <c r="A180" s="4">
        <v>5</v>
      </c>
      <c r="B180" s="4">
        <v>0</v>
      </c>
      <c r="C180" s="4" t="s">
        <v>48</v>
      </c>
      <c r="D180" s="4" t="s">
        <v>5</v>
      </c>
    </row>
    <row r="181" spans="1:4" x14ac:dyDescent="0.25">
      <c r="A181" s="4">
        <v>5</v>
      </c>
      <c r="B181" s="4">
        <v>1</v>
      </c>
      <c r="C181" s="4" t="s">
        <v>49</v>
      </c>
      <c r="D181" s="4" t="s">
        <v>5</v>
      </c>
    </row>
    <row r="182" spans="1:4" x14ac:dyDescent="0.25">
      <c r="A182" s="4">
        <v>5</v>
      </c>
      <c r="B182" s="4">
        <v>1</v>
      </c>
      <c r="C182" s="4" t="s">
        <v>40</v>
      </c>
      <c r="D182" s="4" t="s">
        <v>6</v>
      </c>
    </row>
    <row r="183" spans="1:4" x14ac:dyDescent="0.25">
      <c r="A183" s="4">
        <v>5</v>
      </c>
      <c r="B183" s="4">
        <v>1</v>
      </c>
      <c r="C183" s="4" t="s">
        <v>41</v>
      </c>
      <c r="D183" s="4" t="s">
        <v>6</v>
      </c>
    </row>
    <row r="184" spans="1:4" x14ac:dyDescent="0.25">
      <c r="A184" s="4">
        <v>5</v>
      </c>
      <c r="B184" s="4">
        <v>0</v>
      </c>
      <c r="C184" s="4" t="s">
        <v>42</v>
      </c>
      <c r="D184" s="4" t="s">
        <v>6</v>
      </c>
    </row>
    <row r="185" spans="1:4" x14ac:dyDescent="0.25">
      <c r="A185" s="4">
        <v>5</v>
      </c>
      <c r="B185" s="4">
        <v>1</v>
      </c>
      <c r="C185" s="4" t="s">
        <v>43</v>
      </c>
      <c r="D185" s="4" t="s">
        <v>6</v>
      </c>
    </row>
    <row r="186" spans="1:4" x14ac:dyDescent="0.25">
      <c r="A186" s="4">
        <v>5</v>
      </c>
      <c r="B186" s="4">
        <v>0</v>
      </c>
      <c r="C186" s="4" t="s">
        <v>44</v>
      </c>
      <c r="D186" s="4" t="s">
        <v>6</v>
      </c>
    </row>
    <row r="187" spans="1:4" x14ac:dyDescent="0.25">
      <c r="A187" s="4">
        <v>5</v>
      </c>
      <c r="B187" s="4">
        <v>0</v>
      </c>
      <c r="C187" s="4" t="s">
        <v>45</v>
      </c>
      <c r="D187" s="4" t="s">
        <v>6</v>
      </c>
    </row>
    <row r="188" spans="1:4" x14ac:dyDescent="0.25">
      <c r="A188" s="4">
        <v>5</v>
      </c>
      <c r="B188" s="4">
        <v>0</v>
      </c>
      <c r="C188" s="4" t="s">
        <v>46</v>
      </c>
      <c r="D188" s="4" t="s">
        <v>6</v>
      </c>
    </row>
    <row r="189" spans="1:4" x14ac:dyDescent="0.25">
      <c r="A189" s="4">
        <v>5</v>
      </c>
      <c r="B189" s="4">
        <v>0</v>
      </c>
      <c r="C189" s="4" t="s">
        <v>47</v>
      </c>
      <c r="D189" s="4" t="s">
        <v>6</v>
      </c>
    </row>
    <row r="190" spans="1:4" x14ac:dyDescent="0.25">
      <c r="A190" s="4">
        <v>5</v>
      </c>
      <c r="B190" s="4">
        <v>0</v>
      </c>
      <c r="C190" s="4" t="s">
        <v>48</v>
      </c>
      <c r="D190" s="4" t="s">
        <v>6</v>
      </c>
    </row>
    <row r="191" spans="1:4" x14ac:dyDescent="0.25">
      <c r="A191" s="4">
        <v>5</v>
      </c>
      <c r="B191" s="4">
        <v>0</v>
      </c>
      <c r="C191" s="4" t="s">
        <v>49</v>
      </c>
      <c r="D191" s="4" t="s">
        <v>6</v>
      </c>
    </row>
    <row r="192" spans="1:4" x14ac:dyDescent="0.25">
      <c r="A192" s="4">
        <v>5</v>
      </c>
      <c r="B192" s="4">
        <v>0</v>
      </c>
      <c r="C192" s="4" t="s">
        <v>40</v>
      </c>
      <c r="D192" s="4" t="s">
        <v>7</v>
      </c>
    </row>
    <row r="193" spans="1:4" x14ac:dyDescent="0.25">
      <c r="A193" s="4">
        <v>5</v>
      </c>
      <c r="B193" s="4">
        <v>0</v>
      </c>
      <c r="C193" s="4" t="s">
        <v>41</v>
      </c>
      <c r="D193" s="4" t="s">
        <v>7</v>
      </c>
    </row>
    <row r="194" spans="1:4" x14ac:dyDescent="0.25">
      <c r="A194" s="4">
        <v>5</v>
      </c>
      <c r="B194" s="4">
        <v>0</v>
      </c>
      <c r="C194" s="4" t="s">
        <v>42</v>
      </c>
      <c r="D194" s="4" t="s">
        <v>7</v>
      </c>
    </row>
    <row r="195" spans="1:4" x14ac:dyDescent="0.25">
      <c r="A195" s="4">
        <v>5</v>
      </c>
      <c r="B195" s="4">
        <v>0</v>
      </c>
      <c r="C195" s="4" t="s">
        <v>43</v>
      </c>
      <c r="D195" s="4" t="s">
        <v>7</v>
      </c>
    </row>
    <row r="196" spans="1:4" x14ac:dyDescent="0.25">
      <c r="A196" s="4">
        <v>5</v>
      </c>
      <c r="B196" s="4">
        <v>0</v>
      </c>
      <c r="C196" s="4" t="s">
        <v>44</v>
      </c>
      <c r="D196" s="4" t="s">
        <v>7</v>
      </c>
    </row>
    <row r="197" spans="1:4" x14ac:dyDescent="0.25">
      <c r="A197" s="4">
        <v>5</v>
      </c>
      <c r="B197" s="4">
        <v>0</v>
      </c>
      <c r="C197" s="4" t="s">
        <v>45</v>
      </c>
      <c r="D197" s="4" t="s">
        <v>7</v>
      </c>
    </row>
    <row r="198" spans="1:4" x14ac:dyDescent="0.25">
      <c r="A198" s="4">
        <v>5</v>
      </c>
      <c r="B198" s="4">
        <v>1</v>
      </c>
      <c r="C198" s="4" t="s">
        <v>46</v>
      </c>
      <c r="D198" s="4" t="s">
        <v>7</v>
      </c>
    </row>
    <row r="199" spans="1:4" x14ac:dyDescent="0.25">
      <c r="A199" s="4">
        <v>5</v>
      </c>
      <c r="B199" s="4">
        <v>0</v>
      </c>
      <c r="C199" s="4" t="s">
        <v>47</v>
      </c>
      <c r="D199" s="4" t="s">
        <v>7</v>
      </c>
    </row>
    <row r="200" spans="1:4" x14ac:dyDescent="0.25">
      <c r="A200" s="4">
        <v>5</v>
      </c>
      <c r="B200" s="4">
        <v>0</v>
      </c>
      <c r="C200" s="4" t="s">
        <v>48</v>
      </c>
      <c r="D200" s="4" t="s">
        <v>7</v>
      </c>
    </row>
    <row r="201" spans="1:4" x14ac:dyDescent="0.25">
      <c r="A201" s="4">
        <v>5</v>
      </c>
      <c r="B201" s="4">
        <v>0</v>
      </c>
      <c r="C201" s="4" t="s">
        <v>49</v>
      </c>
      <c r="D201" s="4" t="s">
        <v>7</v>
      </c>
    </row>
    <row r="202" spans="1:4" x14ac:dyDescent="0.25">
      <c r="A202" s="4">
        <v>6</v>
      </c>
      <c r="B202" s="4">
        <v>0</v>
      </c>
      <c r="C202" s="4" t="s">
        <v>40</v>
      </c>
      <c r="D202" s="4" t="s">
        <v>4</v>
      </c>
    </row>
    <row r="203" spans="1:4" x14ac:dyDescent="0.25">
      <c r="A203" s="4">
        <v>6</v>
      </c>
      <c r="B203" s="4">
        <v>0</v>
      </c>
      <c r="C203" s="4" t="s">
        <v>41</v>
      </c>
      <c r="D203" s="4" t="s">
        <v>4</v>
      </c>
    </row>
    <row r="204" spans="1:4" x14ac:dyDescent="0.25">
      <c r="A204" s="4">
        <v>6</v>
      </c>
      <c r="B204" s="4">
        <v>1</v>
      </c>
      <c r="C204" s="4" t="s">
        <v>42</v>
      </c>
      <c r="D204" s="4" t="s">
        <v>4</v>
      </c>
    </row>
    <row r="205" spans="1:4" x14ac:dyDescent="0.25">
      <c r="A205" s="4">
        <v>6</v>
      </c>
      <c r="B205" s="4">
        <v>0</v>
      </c>
      <c r="C205" s="4" t="s">
        <v>43</v>
      </c>
      <c r="D205" s="4" t="s">
        <v>4</v>
      </c>
    </row>
    <row r="206" spans="1:4" x14ac:dyDescent="0.25">
      <c r="A206" s="4">
        <v>6</v>
      </c>
      <c r="B206" s="4">
        <v>1</v>
      </c>
      <c r="C206" s="4" t="s">
        <v>44</v>
      </c>
      <c r="D206" s="4" t="s">
        <v>4</v>
      </c>
    </row>
    <row r="207" spans="1:4" x14ac:dyDescent="0.25">
      <c r="A207" s="4">
        <v>6</v>
      </c>
      <c r="B207" s="4">
        <v>0</v>
      </c>
      <c r="C207" s="4" t="s">
        <v>45</v>
      </c>
      <c r="D207" s="4" t="s">
        <v>4</v>
      </c>
    </row>
    <row r="208" spans="1:4" x14ac:dyDescent="0.25">
      <c r="A208" s="4">
        <v>6</v>
      </c>
      <c r="B208" s="4">
        <v>0</v>
      </c>
      <c r="C208" s="4" t="s">
        <v>46</v>
      </c>
      <c r="D208" s="4" t="s">
        <v>4</v>
      </c>
    </row>
    <row r="209" spans="1:4" x14ac:dyDescent="0.25">
      <c r="A209" s="4">
        <v>6</v>
      </c>
      <c r="B209" s="4">
        <v>0</v>
      </c>
      <c r="C209" s="4" t="s">
        <v>47</v>
      </c>
      <c r="D209" s="4" t="s">
        <v>4</v>
      </c>
    </row>
    <row r="210" spans="1:4" x14ac:dyDescent="0.25">
      <c r="A210" s="4">
        <v>6</v>
      </c>
      <c r="B210" s="4">
        <v>0</v>
      </c>
      <c r="C210" s="4" t="s">
        <v>48</v>
      </c>
      <c r="D210" s="4" t="s">
        <v>4</v>
      </c>
    </row>
    <row r="211" spans="1:4" x14ac:dyDescent="0.25">
      <c r="A211" s="4">
        <v>6</v>
      </c>
      <c r="B211" s="4">
        <v>0</v>
      </c>
      <c r="C211" s="4" t="s">
        <v>49</v>
      </c>
      <c r="D211" s="4" t="s">
        <v>4</v>
      </c>
    </row>
    <row r="212" spans="1:4" x14ac:dyDescent="0.25">
      <c r="A212" s="4">
        <v>6</v>
      </c>
      <c r="B212" s="4">
        <v>1</v>
      </c>
      <c r="C212" s="4" t="s">
        <v>40</v>
      </c>
      <c r="D212" s="4" t="s">
        <v>5</v>
      </c>
    </row>
    <row r="213" spans="1:4" x14ac:dyDescent="0.25">
      <c r="A213" s="4">
        <v>6</v>
      </c>
      <c r="B213" s="4">
        <v>0</v>
      </c>
      <c r="C213" s="4" t="s">
        <v>41</v>
      </c>
      <c r="D213" s="4" t="s">
        <v>5</v>
      </c>
    </row>
    <row r="214" spans="1:4" x14ac:dyDescent="0.25">
      <c r="A214" s="4">
        <v>6</v>
      </c>
      <c r="B214" s="4">
        <v>0</v>
      </c>
      <c r="C214" s="4" t="s">
        <v>42</v>
      </c>
      <c r="D214" s="4" t="s">
        <v>5</v>
      </c>
    </row>
    <row r="215" spans="1:4" x14ac:dyDescent="0.25">
      <c r="A215" s="4">
        <v>6</v>
      </c>
      <c r="B215" s="4">
        <v>1</v>
      </c>
      <c r="C215" s="4" t="s">
        <v>43</v>
      </c>
      <c r="D215" s="4" t="s">
        <v>5</v>
      </c>
    </row>
    <row r="216" spans="1:4" x14ac:dyDescent="0.25">
      <c r="A216" s="4">
        <v>6</v>
      </c>
      <c r="B216" s="4">
        <v>0</v>
      </c>
      <c r="C216" s="4" t="s">
        <v>44</v>
      </c>
      <c r="D216" s="4" t="s">
        <v>5</v>
      </c>
    </row>
    <row r="217" spans="1:4" x14ac:dyDescent="0.25">
      <c r="A217" s="4">
        <v>6</v>
      </c>
      <c r="B217" s="4">
        <v>1</v>
      </c>
      <c r="C217" s="4" t="s">
        <v>45</v>
      </c>
      <c r="D217" s="4" t="s">
        <v>5</v>
      </c>
    </row>
    <row r="218" spans="1:4" x14ac:dyDescent="0.25">
      <c r="A218" s="4">
        <v>6</v>
      </c>
      <c r="B218" s="4">
        <v>0</v>
      </c>
      <c r="C218" s="4" t="s">
        <v>46</v>
      </c>
      <c r="D218" s="4" t="s">
        <v>5</v>
      </c>
    </row>
    <row r="219" spans="1:4" x14ac:dyDescent="0.25">
      <c r="A219" s="4">
        <v>6</v>
      </c>
      <c r="B219" s="4">
        <v>1</v>
      </c>
      <c r="C219" s="4" t="s">
        <v>47</v>
      </c>
      <c r="D219" s="4" t="s">
        <v>5</v>
      </c>
    </row>
    <row r="220" spans="1:4" x14ac:dyDescent="0.25">
      <c r="A220" s="4">
        <v>6</v>
      </c>
      <c r="B220" s="4">
        <v>0</v>
      </c>
      <c r="C220" s="4" t="s">
        <v>48</v>
      </c>
      <c r="D220" s="4" t="s">
        <v>5</v>
      </c>
    </row>
    <row r="221" spans="1:4" x14ac:dyDescent="0.25">
      <c r="A221" s="4">
        <v>6</v>
      </c>
      <c r="B221" s="4">
        <v>0</v>
      </c>
      <c r="C221" s="4" t="s">
        <v>49</v>
      </c>
      <c r="D221" s="4" t="s">
        <v>5</v>
      </c>
    </row>
    <row r="222" spans="1:4" x14ac:dyDescent="0.25">
      <c r="A222" s="4">
        <v>6</v>
      </c>
      <c r="B222" s="4">
        <v>0</v>
      </c>
      <c r="C222" s="4" t="s">
        <v>40</v>
      </c>
      <c r="D222" s="4" t="s">
        <v>6</v>
      </c>
    </row>
    <row r="223" spans="1:4" x14ac:dyDescent="0.25">
      <c r="A223" s="4">
        <v>6</v>
      </c>
      <c r="B223" s="4">
        <v>1</v>
      </c>
      <c r="C223" s="4" t="s">
        <v>41</v>
      </c>
      <c r="D223" s="4" t="s">
        <v>6</v>
      </c>
    </row>
    <row r="224" spans="1:4" x14ac:dyDescent="0.25">
      <c r="A224" s="4">
        <v>6</v>
      </c>
      <c r="B224" s="4">
        <v>0</v>
      </c>
      <c r="C224" s="4" t="s">
        <v>42</v>
      </c>
      <c r="D224" s="4" t="s">
        <v>6</v>
      </c>
    </row>
    <row r="225" spans="1:4" x14ac:dyDescent="0.25">
      <c r="A225" s="4">
        <v>6</v>
      </c>
      <c r="B225" s="4">
        <v>0</v>
      </c>
      <c r="C225" s="4" t="s">
        <v>43</v>
      </c>
      <c r="D225" s="4" t="s">
        <v>6</v>
      </c>
    </row>
    <row r="226" spans="1:4" x14ac:dyDescent="0.25">
      <c r="A226" s="4">
        <v>6</v>
      </c>
      <c r="B226" s="4">
        <v>0</v>
      </c>
      <c r="C226" s="4" t="s">
        <v>44</v>
      </c>
      <c r="D226" s="4" t="s">
        <v>6</v>
      </c>
    </row>
    <row r="227" spans="1:4" x14ac:dyDescent="0.25">
      <c r="A227" s="4">
        <v>6</v>
      </c>
      <c r="B227" s="4">
        <v>0</v>
      </c>
      <c r="C227" s="4" t="s">
        <v>45</v>
      </c>
      <c r="D227" s="4" t="s">
        <v>6</v>
      </c>
    </row>
    <row r="228" spans="1:4" x14ac:dyDescent="0.25">
      <c r="A228" s="4">
        <v>6</v>
      </c>
      <c r="B228" s="4">
        <v>0</v>
      </c>
      <c r="C228" s="4" t="s">
        <v>46</v>
      </c>
      <c r="D228" s="4" t="s">
        <v>6</v>
      </c>
    </row>
    <row r="229" spans="1:4" x14ac:dyDescent="0.25">
      <c r="A229" s="4">
        <v>6</v>
      </c>
      <c r="B229" s="4">
        <v>0</v>
      </c>
      <c r="C229" s="4" t="s">
        <v>47</v>
      </c>
      <c r="D229" s="4" t="s">
        <v>6</v>
      </c>
    </row>
    <row r="230" spans="1:4" x14ac:dyDescent="0.25">
      <c r="A230" s="4">
        <v>6</v>
      </c>
      <c r="B230" s="4">
        <v>1</v>
      </c>
      <c r="C230" s="4" t="s">
        <v>48</v>
      </c>
      <c r="D230" s="4" t="s">
        <v>6</v>
      </c>
    </row>
    <row r="231" spans="1:4" x14ac:dyDescent="0.25">
      <c r="A231" s="4">
        <v>6</v>
      </c>
      <c r="B231" s="4">
        <v>1</v>
      </c>
      <c r="C231" s="4" t="s">
        <v>49</v>
      </c>
      <c r="D231" s="4" t="s">
        <v>6</v>
      </c>
    </row>
    <row r="232" spans="1:4" x14ac:dyDescent="0.25">
      <c r="A232" s="4">
        <v>6</v>
      </c>
      <c r="B232" s="4">
        <v>0</v>
      </c>
      <c r="C232" s="4" t="s">
        <v>40</v>
      </c>
      <c r="D232" s="4" t="s">
        <v>7</v>
      </c>
    </row>
    <row r="233" spans="1:4" x14ac:dyDescent="0.25">
      <c r="A233" s="4">
        <v>6</v>
      </c>
      <c r="B233" s="4">
        <v>0</v>
      </c>
      <c r="C233" s="4" t="s">
        <v>41</v>
      </c>
      <c r="D233" s="4" t="s">
        <v>7</v>
      </c>
    </row>
    <row r="234" spans="1:4" x14ac:dyDescent="0.25">
      <c r="A234" s="4">
        <v>6</v>
      </c>
      <c r="B234" s="4">
        <v>0</v>
      </c>
      <c r="C234" s="4" t="s">
        <v>42</v>
      </c>
      <c r="D234" s="4" t="s">
        <v>7</v>
      </c>
    </row>
    <row r="235" spans="1:4" x14ac:dyDescent="0.25">
      <c r="A235" s="4">
        <v>6</v>
      </c>
      <c r="B235" s="4">
        <v>0</v>
      </c>
      <c r="C235" s="4" t="s">
        <v>43</v>
      </c>
      <c r="D235" s="4" t="s">
        <v>7</v>
      </c>
    </row>
    <row r="236" spans="1:4" x14ac:dyDescent="0.25">
      <c r="A236" s="4">
        <v>6</v>
      </c>
      <c r="B236" s="4">
        <v>0</v>
      </c>
      <c r="C236" s="4" t="s">
        <v>44</v>
      </c>
      <c r="D236" s="4" t="s">
        <v>7</v>
      </c>
    </row>
    <row r="237" spans="1:4" x14ac:dyDescent="0.25">
      <c r="A237" s="4">
        <v>6</v>
      </c>
      <c r="B237" s="4">
        <v>0</v>
      </c>
      <c r="C237" s="4" t="s">
        <v>45</v>
      </c>
      <c r="D237" s="4" t="s">
        <v>7</v>
      </c>
    </row>
    <row r="238" spans="1:4" x14ac:dyDescent="0.25">
      <c r="A238" s="4">
        <v>6</v>
      </c>
      <c r="B238" s="4">
        <v>1</v>
      </c>
      <c r="C238" s="4" t="s">
        <v>46</v>
      </c>
      <c r="D238" s="4" t="s">
        <v>7</v>
      </c>
    </row>
    <row r="239" spans="1:4" x14ac:dyDescent="0.25">
      <c r="A239" s="4">
        <v>6</v>
      </c>
      <c r="B239" s="4">
        <v>0</v>
      </c>
      <c r="C239" s="4" t="s">
        <v>47</v>
      </c>
      <c r="D239" s="4" t="s">
        <v>7</v>
      </c>
    </row>
    <row r="240" spans="1:4" x14ac:dyDescent="0.25">
      <c r="A240" s="4">
        <v>6</v>
      </c>
      <c r="B240" s="4">
        <v>0</v>
      </c>
      <c r="C240" s="4" t="s">
        <v>48</v>
      </c>
      <c r="D240" s="4" t="s">
        <v>7</v>
      </c>
    </row>
    <row r="241" spans="1:4" x14ac:dyDescent="0.25">
      <c r="A241" s="4">
        <v>6</v>
      </c>
      <c r="B241" s="4">
        <v>0</v>
      </c>
      <c r="C241" s="4" t="s">
        <v>49</v>
      </c>
      <c r="D241" s="4" t="s">
        <v>7</v>
      </c>
    </row>
    <row r="242" spans="1:4" x14ac:dyDescent="0.25">
      <c r="A242" s="4">
        <v>7</v>
      </c>
      <c r="B242" s="4">
        <v>1</v>
      </c>
      <c r="C242" s="4" t="s">
        <v>40</v>
      </c>
      <c r="D242" s="4" t="s">
        <v>4</v>
      </c>
    </row>
    <row r="243" spans="1:4" x14ac:dyDescent="0.25">
      <c r="A243" s="4">
        <v>7</v>
      </c>
      <c r="B243" s="4">
        <v>0</v>
      </c>
      <c r="C243" s="4" t="s">
        <v>41</v>
      </c>
      <c r="D243" s="4" t="s">
        <v>4</v>
      </c>
    </row>
    <row r="244" spans="1:4" x14ac:dyDescent="0.25">
      <c r="A244" s="4">
        <v>7</v>
      </c>
      <c r="B244" s="4">
        <v>0</v>
      </c>
      <c r="C244" s="4" t="s">
        <v>42</v>
      </c>
      <c r="D244" s="4" t="s">
        <v>4</v>
      </c>
    </row>
    <row r="245" spans="1:4" x14ac:dyDescent="0.25">
      <c r="A245" s="4">
        <v>7</v>
      </c>
      <c r="B245" s="4">
        <v>0</v>
      </c>
      <c r="C245" s="4" t="s">
        <v>43</v>
      </c>
      <c r="D245" s="4" t="s">
        <v>4</v>
      </c>
    </row>
    <row r="246" spans="1:4" x14ac:dyDescent="0.25">
      <c r="A246" s="4">
        <v>7</v>
      </c>
      <c r="B246" s="4">
        <v>0</v>
      </c>
      <c r="C246" s="4" t="s">
        <v>44</v>
      </c>
      <c r="D246" s="4" t="s">
        <v>4</v>
      </c>
    </row>
    <row r="247" spans="1:4" x14ac:dyDescent="0.25">
      <c r="A247" s="4">
        <v>7</v>
      </c>
      <c r="B247" s="4">
        <v>1</v>
      </c>
      <c r="C247" s="4" t="s">
        <v>45</v>
      </c>
      <c r="D247" s="4" t="s">
        <v>4</v>
      </c>
    </row>
    <row r="248" spans="1:4" x14ac:dyDescent="0.25">
      <c r="A248" s="4">
        <v>7</v>
      </c>
      <c r="B248" s="4">
        <v>0</v>
      </c>
      <c r="C248" s="4" t="s">
        <v>46</v>
      </c>
      <c r="D248" s="4" t="s">
        <v>4</v>
      </c>
    </row>
    <row r="249" spans="1:4" x14ac:dyDescent="0.25">
      <c r="A249" s="4">
        <v>7</v>
      </c>
      <c r="B249" s="4">
        <v>0</v>
      </c>
      <c r="C249" s="4" t="s">
        <v>47</v>
      </c>
      <c r="D249" s="4" t="s">
        <v>4</v>
      </c>
    </row>
    <row r="250" spans="1:4" x14ac:dyDescent="0.25">
      <c r="A250" s="4">
        <v>7</v>
      </c>
      <c r="B250" s="4">
        <v>0</v>
      </c>
      <c r="C250" s="4" t="s">
        <v>48</v>
      </c>
      <c r="D250" s="4" t="s">
        <v>4</v>
      </c>
    </row>
    <row r="251" spans="1:4" x14ac:dyDescent="0.25">
      <c r="A251" s="4">
        <v>7</v>
      </c>
      <c r="B251" s="4">
        <v>0</v>
      </c>
      <c r="C251" s="4" t="s">
        <v>49</v>
      </c>
      <c r="D251" s="4" t="s">
        <v>4</v>
      </c>
    </row>
    <row r="252" spans="1:4" x14ac:dyDescent="0.25">
      <c r="A252" s="4">
        <v>7</v>
      </c>
      <c r="B252" s="4">
        <v>0</v>
      </c>
      <c r="C252" s="4" t="s">
        <v>40</v>
      </c>
      <c r="D252" s="4" t="s">
        <v>5</v>
      </c>
    </row>
    <row r="253" spans="1:4" x14ac:dyDescent="0.25">
      <c r="A253" s="4">
        <v>7</v>
      </c>
      <c r="B253" s="4">
        <v>0</v>
      </c>
      <c r="C253" s="4" t="s">
        <v>41</v>
      </c>
      <c r="D253" s="4" t="s">
        <v>5</v>
      </c>
    </row>
    <row r="254" spans="1:4" x14ac:dyDescent="0.25">
      <c r="A254" s="4">
        <v>7</v>
      </c>
      <c r="B254" s="4">
        <v>1</v>
      </c>
      <c r="C254" s="4" t="s">
        <v>42</v>
      </c>
      <c r="D254" s="4" t="s">
        <v>5</v>
      </c>
    </row>
    <row r="255" spans="1:4" x14ac:dyDescent="0.25">
      <c r="A255" s="4">
        <v>7</v>
      </c>
      <c r="B255" s="4">
        <v>1</v>
      </c>
      <c r="C255" s="4" t="s">
        <v>43</v>
      </c>
      <c r="D255" s="4" t="s">
        <v>5</v>
      </c>
    </row>
    <row r="256" spans="1:4" x14ac:dyDescent="0.25">
      <c r="A256" s="4">
        <v>7</v>
      </c>
      <c r="B256" s="4">
        <v>1</v>
      </c>
      <c r="C256" s="4" t="s">
        <v>44</v>
      </c>
      <c r="D256" s="4" t="s">
        <v>5</v>
      </c>
    </row>
    <row r="257" spans="1:4" x14ac:dyDescent="0.25">
      <c r="A257" s="4">
        <v>7</v>
      </c>
      <c r="B257" s="4">
        <v>0</v>
      </c>
      <c r="C257" s="4" t="s">
        <v>45</v>
      </c>
      <c r="D257" s="4" t="s">
        <v>5</v>
      </c>
    </row>
    <row r="258" spans="1:4" x14ac:dyDescent="0.25">
      <c r="A258" s="4">
        <v>7</v>
      </c>
      <c r="B258" s="4">
        <v>0</v>
      </c>
      <c r="C258" s="4" t="s">
        <v>46</v>
      </c>
      <c r="D258" s="4" t="s">
        <v>5</v>
      </c>
    </row>
    <row r="259" spans="1:4" x14ac:dyDescent="0.25">
      <c r="A259" s="4">
        <v>7</v>
      </c>
      <c r="B259" s="4">
        <v>1</v>
      </c>
      <c r="C259" s="4" t="s">
        <v>47</v>
      </c>
      <c r="D259" s="4" t="s">
        <v>5</v>
      </c>
    </row>
    <row r="260" spans="1:4" x14ac:dyDescent="0.25">
      <c r="A260" s="4">
        <v>7</v>
      </c>
      <c r="B260" s="4">
        <v>0</v>
      </c>
      <c r="C260" s="4" t="s">
        <v>48</v>
      </c>
      <c r="D260" s="4" t="s">
        <v>5</v>
      </c>
    </row>
    <row r="261" spans="1:4" x14ac:dyDescent="0.25">
      <c r="A261" s="4">
        <v>7</v>
      </c>
      <c r="B261" s="4">
        <v>0</v>
      </c>
      <c r="C261" s="4" t="s">
        <v>49</v>
      </c>
      <c r="D261" s="4" t="s">
        <v>5</v>
      </c>
    </row>
    <row r="262" spans="1:4" x14ac:dyDescent="0.25">
      <c r="A262" s="4">
        <v>7</v>
      </c>
      <c r="B262" s="4">
        <v>0</v>
      </c>
      <c r="C262" s="4" t="s">
        <v>40</v>
      </c>
      <c r="D262" s="4" t="s">
        <v>6</v>
      </c>
    </row>
    <row r="263" spans="1:4" x14ac:dyDescent="0.25">
      <c r="A263" s="4">
        <v>7</v>
      </c>
      <c r="B263" s="4">
        <v>1</v>
      </c>
      <c r="C263" s="4" t="s">
        <v>41</v>
      </c>
      <c r="D263" s="4" t="s">
        <v>6</v>
      </c>
    </row>
    <row r="264" spans="1:4" x14ac:dyDescent="0.25">
      <c r="A264" s="4">
        <v>7</v>
      </c>
      <c r="B264" s="4">
        <v>0</v>
      </c>
      <c r="C264" s="4" t="s">
        <v>42</v>
      </c>
      <c r="D264" s="4" t="s">
        <v>6</v>
      </c>
    </row>
    <row r="265" spans="1:4" x14ac:dyDescent="0.25">
      <c r="A265" s="4">
        <v>7</v>
      </c>
      <c r="B265" s="4">
        <v>0</v>
      </c>
      <c r="C265" s="4" t="s">
        <v>43</v>
      </c>
      <c r="D265" s="4" t="s">
        <v>6</v>
      </c>
    </row>
    <row r="266" spans="1:4" x14ac:dyDescent="0.25">
      <c r="A266" s="4">
        <v>7</v>
      </c>
      <c r="B266" s="4">
        <v>0</v>
      </c>
      <c r="C266" s="4" t="s">
        <v>44</v>
      </c>
      <c r="D266" s="4" t="s">
        <v>6</v>
      </c>
    </row>
    <row r="267" spans="1:4" x14ac:dyDescent="0.25">
      <c r="A267" s="4">
        <v>7</v>
      </c>
      <c r="B267" s="4">
        <v>0</v>
      </c>
      <c r="C267" s="4" t="s">
        <v>45</v>
      </c>
      <c r="D267" s="4" t="s">
        <v>6</v>
      </c>
    </row>
    <row r="268" spans="1:4" x14ac:dyDescent="0.25">
      <c r="A268" s="4">
        <v>7</v>
      </c>
      <c r="B268" s="4">
        <v>0</v>
      </c>
      <c r="C268" s="4" t="s">
        <v>46</v>
      </c>
      <c r="D268" s="4" t="s">
        <v>6</v>
      </c>
    </row>
    <row r="269" spans="1:4" x14ac:dyDescent="0.25">
      <c r="A269" s="4">
        <v>7</v>
      </c>
      <c r="B269" s="4">
        <v>0</v>
      </c>
      <c r="C269" s="4" t="s">
        <v>47</v>
      </c>
      <c r="D269" s="4" t="s">
        <v>6</v>
      </c>
    </row>
    <row r="270" spans="1:4" x14ac:dyDescent="0.25">
      <c r="A270" s="4">
        <v>7</v>
      </c>
      <c r="B270" s="4">
        <v>1</v>
      </c>
      <c r="C270" s="4" t="s">
        <v>48</v>
      </c>
      <c r="D270" s="4" t="s">
        <v>6</v>
      </c>
    </row>
    <row r="271" spans="1:4" x14ac:dyDescent="0.25">
      <c r="A271" s="4">
        <v>7</v>
      </c>
      <c r="B271" s="4">
        <v>1</v>
      </c>
      <c r="C271" s="4" t="s">
        <v>49</v>
      </c>
      <c r="D271" s="4" t="s">
        <v>6</v>
      </c>
    </row>
    <row r="272" spans="1:4" x14ac:dyDescent="0.25">
      <c r="A272" s="4">
        <v>7</v>
      </c>
      <c r="B272" s="4">
        <v>0</v>
      </c>
      <c r="C272" s="4" t="s">
        <v>40</v>
      </c>
      <c r="D272" s="4" t="s">
        <v>7</v>
      </c>
    </row>
    <row r="273" spans="1:4" x14ac:dyDescent="0.25">
      <c r="A273" s="4">
        <v>7</v>
      </c>
      <c r="B273" s="4">
        <v>0</v>
      </c>
      <c r="C273" s="4" t="s">
        <v>41</v>
      </c>
      <c r="D273" s="4" t="s">
        <v>7</v>
      </c>
    </row>
    <row r="274" spans="1:4" x14ac:dyDescent="0.25">
      <c r="A274" s="4">
        <v>7</v>
      </c>
      <c r="B274" s="4">
        <v>0</v>
      </c>
      <c r="C274" s="4" t="s">
        <v>42</v>
      </c>
      <c r="D274" s="4" t="s">
        <v>7</v>
      </c>
    </row>
    <row r="275" spans="1:4" x14ac:dyDescent="0.25">
      <c r="A275" s="4">
        <v>7</v>
      </c>
      <c r="B275" s="4">
        <v>0</v>
      </c>
      <c r="C275" s="4" t="s">
        <v>43</v>
      </c>
      <c r="D275" s="4" t="s">
        <v>7</v>
      </c>
    </row>
    <row r="276" spans="1:4" x14ac:dyDescent="0.25">
      <c r="A276" s="4">
        <v>7</v>
      </c>
      <c r="B276" s="4">
        <v>0</v>
      </c>
      <c r="C276" s="4" t="s">
        <v>44</v>
      </c>
      <c r="D276" s="4" t="s">
        <v>7</v>
      </c>
    </row>
    <row r="277" spans="1:4" x14ac:dyDescent="0.25">
      <c r="A277" s="4">
        <v>7</v>
      </c>
      <c r="B277" s="4">
        <v>0</v>
      </c>
      <c r="C277" s="4" t="s">
        <v>45</v>
      </c>
      <c r="D277" s="4" t="s">
        <v>7</v>
      </c>
    </row>
    <row r="278" spans="1:4" x14ac:dyDescent="0.25">
      <c r="A278" s="4">
        <v>7</v>
      </c>
      <c r="B278" s="4">
        <v>1</v>
      </c>
      <c r="C278" s="4" t="s">
        <v>46</v>
      </c>
      <c r="D278" s="4" t="s">
        <v>7</v>
      </c>
    </row>
    <row r="279" spans="1:4" x14ac:dyDescent="0.25">
      <c r="A279" s="4">
        <v>7</v>
      </c>
      <c r="B279" s="4">
        <v>0</v>
      </c>
      <c r="C279" s="4" t="s">
        <v>47</v>
      </c>
      <c r="D279" s="4" t="s">
        <v>7</v>
      </c>
    </row>
    <row r="280" spans="1:4" x14ac:dyDescent="0.25">
      <c r="A280" s="4">
        <v>7</v>
      </c>
      <c r="B280" s="4">
        <v>0</v>
      </c>
      <c r="C280" s="4" t="s">
        <v>48</v>
      </c>
      <c r="D280" s="4" t="s">
        <v>7</v>
      </c>
    </row>
    <row r="281" spans="1:4" x14ac:dyDescent="0.25">
      <c r="A281" s="4">
        <v>7</v>
      </c>
      <c r="B281" s="4">
        <v>0</v>
      </c>
      <c r="C281" s="4" t="s">
        <v>49</v>
      </c>
      <c r="D281" s="4" t="s">
        <v>7</v>
      </c>
    </row>
    <row r="282" spans="1:4" x14ac:dyDescent="0.25">
      <c r="A282" s="4">
        <v>8</v>
      </c>
      <c r="B282" s="4">
        <v>0</v>
      </c>
      <c r="C282" s="4" t="s">
        <v>40</v>
      </c>
      <c r="D282" s="4" t="s">
        <v>4</v>
      </c>
    </row>
    <row r="283" spans="1:4" x14ac:dyDescent="0.25">
      <c r="A283" s="4">
        <v>8</v>
      </c>
      <c r="B283" s="4">
        <v>0</v>
      </c>
      <c r="C283" s="4" t="s">
        <v>41</v>
      </c>
      <c r="D283" s="4" t="s">
        <v>4</v>
      </c>
    </row>
    <row r="284" spans="1:4" x14ac:dyDescent="0.25">
      <c r="A284" s="4">
        <v>8</v>
      </c>
      <c r="B284" s="4">
        <v>1</v>
      </c>
      <c r="C284" s="4" t="s">
        <v>42</v>
      </c>
      <c r="D284" s="4" t="s">
        <v>4</v>
      </c>
    </row>
    <row r="285" spans="1:4" x14ac:dyDescent="0.25">
      <c r="A285" s="4">
        <v>8</v>
      </c>
      <c r="B285" s="4">
        <v>0</v>
      </c>
      <c r="C285" s="4" t="s">
        <v>43</v>
      </c>
      <c r="D285" s="4" t="s">
        <v>4</v>
      </c>
    </row>
    <row r="286" spans="1:4" x14ac:dyDescent="0.25">
      <c r="A286" s="4">
        <v>8</v>
      </c>
      <c r="B286" s="4">
        <v>1</v>
      </c>
      <c r="C286" s="4" t="s">
        <v>44</v>
      </c>
      <c r="D286" s="4" t="s">
        <v>4</v>
      </c>
    </row>
    <row r="287" spans="1:4" x14ac:dyDescent="0.25">
      <c r="A287" s="4">
        <v>8</v>
      </c>
      <c r="B287" s="4">
        <v>0</v>
      </c>
      <c r="C287" s="4" t="s">
        <v>45</v>
      </c>
      <c r="D287" s="4" t="s">
        <v>4</v>
      </c>
    </row>
    <row r="288" spans="1:4" x14ac:dyDescent="0.25">
      <c r="A288" s="4">
        <v>8</v>
      </c>
      <c r="B288" s="4">
        <v>0</v>
      </c>
      <c r="C288" s="4" t="s">
        <v>46</v>
      </c>
      <c r="D288" s="4" t="s">
        <v>4</v>
      </c>
    </row>
    <row r="289" spans="1:4" x14ac:dyDescent="0.25">
      <c r="A289" s="4">
        <v>8</v>
      </c>
      <c r="B289" s="4">
        <v>0</v>
      </c>
      <c r="C289" s="4" t="s">
        <v>47</v>
      </c>
      <c r="D289" s="4" t="s">
        <v>4</v>
      </c>
    </row>
    <row r="290" spans="1:4" x14ac:dyDescent="0.25">
      <c r="A290" s="4">
        <v>8</v>
      </c>
      <c r="B290" s="4">
        <v>0</v>
      </c>
      <c r="C290" s="4" t="s">
        <v>48</v>
      </c>
      <c r="D290" s="4" t="s">
        <v>4</v>
      </c>
    </row>
    <row r="291" spans="1:4" x14ac:dyDescent="0.25">
      <c r="A291" s="4">
        <v>8</v>
      </c>
      <c r="B291" s="4">
        <v>0</v>
      </c>
      <c r="C291" s="4" t="s">
        <v>49</v>
      </c>
      <c r="D291" s="4" t="s">
        <v>4</v>
      </c>
    </row>
    <row r="292" spans="1:4" x14ac:dyDescent="0.25">
      <c r="A292" s="4">
        <v>8</v>
      </c>
      <c r="B292" s="4">
        <v>1</v>
      </c>
      <c r="C292" s="4" t="s">
        <v>40</v>
      </c>
      <c r="D292" s="4" t="s">
        <v>5</v>
      </c>
    </row>
    <row r="293" spans="1:4" x14ac:dyDescent="0.25">
      <c r="A293" s="4">
        <v>8</v>
      </c>
      <c r="B293" s="4">
        <v>0</v>
      </c>
      <c r="C293" s="4" t="s">
        <v>41</v>
      </c>
      <c r="D293" s="4" t="s">
        <v>5</v>
      </c>
    </row>
    <row r="294" spans="1:4" x14ac:dyDescent="0.25">
      <c r="A294" s="4">
        <v>8</v>
      </c>
      <c r="B294" s="4">
        <v>0</v>
      </c>
      <c r="C294" s="4" t="s">
        <v>42</v>
      </c>
      <c r="D294" s="4" t="s">
        <v>5</v>
      </c>
    </row>
    <row r="295" spans="1:4" x14ac:dyDescent="0.25">
      <c r="A295" s="4">
        <v>8</v>
      </c>
      <c r="B295" s="4">
        <v>0</v>
      </c>
      <c r="C295" s="4" t="s">
        <v>43</v>
      </c>
      <c r="D295" s="4" t="s">
        <v>5</v>
      </c>
    </row>
    <row r="296" spans="1:4" x14ac:dyDescent="0.25">
      <c r="A296" s="4">
        <v>8</v>
      </c>
      <c r="B296" s="4">
        <v>0</v>
      </c>
      <c r="C296" s="4" t="s">
        <v>44</v>
      </c>
      <c r="D296" s="4" t="s">
        <v>5</v>
      </c>
    </row>
    <row r="297" spans="1:4" x14ac:dyDescent="0.25">
      <c r="A297" s="4">
        <v>8</v>
      </c>
      <c r="B297" s="4">
        <v>1</v>
      </c>
      <c r="C297" s="4" t="s">
        <v>45</v>
      </c>
      <c r="D297" s="4" t="s">
        <v>5</v>
      </c>
    </row>
    <row r="298" spans="1:4" x14ac:dyDescent="0.25">
      <c r="A298" s="4">
        <v>8</v>
      </c>
      <c r="B298" s="4">
        <v>0</v>
      </c>
      <c r="C298" s="4" t="s">
        <v>46</v>
      </c>
      <c r="D298" s="4" t="s">
        <v>5</v>
      </c>
    </row>
    <row r="299" spans="1:4" x14ac:dyDescent="0.25">
      <c r="A299" s="4">
        <v>8</v>
      </c>
      <c r="B299" s="4">
        <v>1</v>
      </c>
      <c r="C299" s="4" t="s">
        <v>47</v>
      </c>
      <c r="D299" s="4" t="s">
        <v>5</v>
      </c>
    </row>
    <row r="300" spans="1:4" x14ac:dyDescent="0.25">
      <c r="A300" s="4">
        <v>8</v>
      </c>
      <c r="B300" s="4">
        <v>1</v>
      </c>
      <c r="C300" s="4" t="s">
        <v>48</v>
      </c>
      <c r="D300" s="4" t="s">
        <v>5</v>
      </c>
    </row>
    <row r="301" spans="1:4" x14ac:dyDescent="0.25">
      <c r="A301" s="4">
        <v>8</v>
      </c>
      <c r="B301" s="4">
        <v>0</v>
      </c>
      <c r="C301" s="4" t="s">
        <v>49</v>
      </c>
      <c r="D301" s="4" t="s">
        <v>5</v>
      </c>
    </row>
    <row r="302" spans="1:4" x14ac:dyDescent="0.25">
      <c r="A302" s="4">
        <v>8</v>
      </c>
      <c r="B302" s="4">
        <v>0</v>
      </c>
      <c r="C302" s="4" t="s">
        <v>40</v>
      </c>
      <c r="D302" s="4" t="s">
        <v>6</v>
      </c>
    </row>
    <row r="303" spans="1:4" x14ac:dyDescent="0.25">
      <c r="A303" s="4">
        <v>8</v>
      </c>
      <c r="B303" s="4">
        <v>0</v>
      </c>
      <c r="C303" s="4" t="s">
        <v>41</v>
      </c>
      <c r="D303" s="4" t="s">
        <v>6</v>
      </c>
    </row>
    <row r="304" spans="1:4" x14ac:dyDescent="0.25">
      <c r="A304" s="4">
        <v>8</v>
      </c>
      <c r="B304" s="4">
        <v>0</v>
      </c>
      <c r="C304" s="4" t="s">
        <v>42</v>
      </c>
      <c r="D304" s="4" t="s">
        <v>6</v>
      </c>
    </row>
    <row r="305" spans="1:4" x14ac:dyDescent="0.25">
      <c r="A305" s="4">
        <v>8</v>
      </c>
      <c r="B305" s="4">
        <v>1</v>
      </c>
      <c r="C305" s="4" t="s">
        <v>43</v>
      </c>
      <c r="D305" s="4" t="s">
        <v>6</v>
      </c>
    </row>
    <row r="306" spans="1:4" x14ac:dyDescent="0.25">
      <c r="A306" s="4">
        <v>8</v>
      </c>
      <c r="B306" s="4">
        <v>0</v>
      </c>
      <c r="C306" s="4" t="s">
        <v>44</v>
      </c>
      <c r="D306" s="4" t="s">
        <v>6</v>
      </c>
    </row>
    <row r="307" spans="1:4" x14ac:dyDescent="0.25">
      <c r="A307" s="4">
        <v>8</v>
      </c>
      <c r="B307" s="4">
        <v>0</v>
      </c>
      <c r="C307" s="4" t="s">
        <v>45</v>
      </c>
      <c r="D307" s="4" t="s">
        <v>6</v>
      </c>
    </row>
    <row r="308" spans="1:4" x14ac:dyDescent="0.25">
      <c r="A308" s="4">
        <v>8</v>
      </c>
      <c r="B308" s="4">
        <v>1</v>
      </c>
      <c r="C308" s="4" t="s">
        <v>46</v>
      </c>
      <c r="D308" s="4" t="s">
        <v>6</v>
      </c>
    </row>
    <row r="309" spans="1:4" x14ac:dyDescent="0.25">
      <c r="A309" s="4">
        <v>8</v>
      </c>
      <c r="B309" s="4">
        <v>0</v>
      </c>
      <c r="C309" s="4" t="s">
        <v>47</v>
      </c>
      <c r="D309" s="4" t="s">
        <v>6</v>
      </c>
    </row>
    <row r="310" spans="1:4" x14ac:dyDescent="0.25">
      <c r="A310" s="4">
        <v>8</v>
      </c>
      <c r="B310" s="4">
        <v>0</v>
      </c>
      <c r="C310" s="4" t="s">
        <v>48</v>
      </c>
      <c r="D310" s="4" t="s">
        <v>6</v>
      </c>
    </row>
    <row r="311" spans="1:4" x14ac:dyDescent="0.25">
      <c r="A311" s="4">
        <v>8</v>
      </c>
      <c r="B311" s="4">
        <v>1</v>
      </c>
      <c r="C311" s="4" t="s">
        <v>49</v>
      </c>
      <c r="D311" s="4" t="s">
        <v>6</v>
      </c>
    </row>
    <row r="312" spans="1:4" x14ac:dyDescent="0.25">
      <c r="A312" s="4">
        <v>8</v>
      </c>
      <c r="B312" s="4">
        <v>0</v>
      </c>
      <c r="C312" s="4" t="s">
        <v>40</v>
      </c>
      <c r="D312" s="4" t="s">
        <v>7</v>
      </c>
    </row>
    <row r="313" spans="1:4" x14ac:dyDescent="0.25">
      <c r="A313" s="4">
        <v>8</v>
      </c>
      <c r="B313" s="4">
        <v>1</v>
      </c>
      <c r="C313" s="4" t="s">
        <v>41</v>
      </c>
      <c r="D313" s="4" t="s">
        <v>7</v>
      </c>
    </row>
    <row r="314" spans="1:4" x14ac:dyDescent="0.25">
      <c r="A314" s="4">
        <v>8</v>
      </c>
      <c r="B314" s="4">
        <v>0</v>
      </c>
      <c r="C314" s="4" t="s">
        <v>42</v>
      </c>
      <c r="D314" s="4" t="s">
        <v>7</v>
      </c>
    </row>
    <row r="315" spans="1:4" x14ac:dyDescent="0.25">
      <c r="A315" s="4">
        <v>8</v>
      </c>
      <c r="B315" s="4">
        <v>0</v>
      </c>
      <c r="C315" s="4" t="s">
        <v>43</v>
      </c>
      <c r="D315" s="4" t="s">
        <v>7</v>
      </c>
    </row>
    <row r="316" spans="1:4" x14ac:dyDescent="0.25">
      <c r="A316" s="4">
        <v>8</v>
      </c>
      <c r="B316" s="4">
        <v>0</v>
      </c>
      <c r="C316" s="4" t="s">
        <v>44</v>
      </c>
      <c r="D316" s="4" t="s">
        <v>7</v>
      </c>
    </row>
    <row r="317" spans="1:4" x14ac:dyDescent="0.25">
      <c r="A317" s="4">
        <v>8</v>
      </c>
      <c r="B317" s="4">
        <v>0</v>
      </c>
      <c r="C317" s="4" t="s">
        <v>45</v>
      </c>
      <c r="D317" s="4" t="s">
        <v>7</v>
      </c>
    </row>
    <row r="318" spans="1:4" x14ac:dyDescent="0.25">
      <c r="A318" s="4">
        <v>8</v>
      </c>
      <c r="B318" s="4">
        <v>0</v>
      </c>
      <c r="C318" s="4" t="s">
        <v>46</v>
      </c>
      <c r="D318" s="4" t="s">
        <v>7</v>
      </c>
    </row>
    <row r="319" spans="1:4" x14ac:dyDescent="0.25">
      <c r="A319" s="4">
        <v>8</v>
      </c>
      <c r="B319" s="4">
        <v>0</v>
      </c>
      <c r="C319" s="4" t="s">
        <v>47</v>
      </c>
      <c r="D319" s="4" t="s">
        <v>7</v>
      </c>
    </row>
    <row r="320" spans="1:4" x14ac:dyDescent="0.25">
      <c r="A320" s="4">
        <v>8</v>
      </c>
      <c r="B320" s="4">
        <v>0</v>
      </c>
      <c r="C320" s="4" t="s">
        <v>48</v>
      </c>
      <c r="D320" s="4" t="s">
        <v>7</v>
      </c>
    </row>
    <row r="321" spans="1:4" x14ac:dyDescent="0.25">
      <c r="A321" s="4">
        <v>8</v>
      </c>
      <c r="B321" s="4">
        <v>0</v>
      </c>
      <c r="C321" s="4" t="s">
        <v>49</v>
      </c>
      <c r="D321" s="4" t="s">
        <v>7</v>
      </c>
    </row>
    <row r="322" spans="1:4" x14ac:dyDescent="0.25">
      <c r="A322" s="4">
        <v>9</v>
      </c>
      <c r="B322" s="4">
        <v>0</v>
      </c>
      <c r="C322" s="4" t="s">
        <v>40</v>
      </c>
      <c r="D322" s="4" t="s">
        <v>4</v>
      </c>
    </row>
    <row r="323" spans="1:4" x14ac:dyDescent="0.25">
      <c r="A323" s="4">
        <v>9</v>
      </c>
      <c r="B323" s="4">
        <v>0</v>
      </c>
      <c r="C323" s="4" t="s">
        <v>41</v>
      </c>
      <c r="D323" s="4" t="s">
        <v>4</v>
      </c>
    </row>
    <row r="324" spans="1:4" x14ac:dyDescent="0.25">
      <c r="A324" s="4">
        <v>9</v>
      </c>
      <c r="B324" s="4">
        <v>0</v>
      </c>
      <c r="C324" s="4" t="s">
        <v>42</v>
      </c>
      <c r="D324" s="4" t="s">
        <v>4</v>
      </c>
    </row>
    <row r="325" spans="1:4" x14ac:dyDescent="0.25">
      <c r="A325" s="4">
        <v>9</v>
      </c>
      <c r="B325" s="4">
        <v>0</v>
      </c>
      <c r="C325" s="4" t="s">
        <v>43</v>
      </c>
      <c r="D325" s="4" t="s">
        <v>4</v>
      </c>
    </row>
    <row r="326" spans="1:4" x14ac:dyDescent="0.25">
      <c r="A326" s="4">
        <v>9</v>
      </c>
      <c r="B326" s="4">
        <v>0</v>
      </c>
      <c r="C326" s="4" t="s">
        <v>44</v>
      </c>
      <c r="D326" s="4" t="s">
        <v>4</v>
      </c>
    </row>
    <row r="327" spans="1:4" x14ac:dyDescent="0.25">
      <c r="A327" s="4">
        <v>9</v>
      </c>
      <c r="B327" s="4">
        <v>1</v>
      </c>
      <c r="C327" s="4" t="s">
        <v>45</v>
      </c>
      <c r="D327" s="4" t="s">
        <v>4</v>
      </c>
    </row>
    <row r="328" spans="1:4" x14ac:dyDescent="0.25">
      <c r="A328" s="4">
        <v>9</v>
      </c>
      <c r="B328" s="4">
        <v>0</v>
      </c>
      <c r="C328" s="4" t="s">
        <v>46</v>
      </c>
      <c r="D328" s="4" t="s">
        <v>4</v>
      </c>
    </row>
    <row r="329" spans="1:4" x14ac:dyDescent="0.25">
      <c r="A329" s="4">
        <v>9</v>
      </c>
      <c r="B329" s="4">
        <v>0</v>
      </c>
      <c r="C329" s="4" t="s">
        <v>47</v>
      </c>
      <c r="D329" s="4" t="s">
        <v>4</v>
      </c>
    </row>
    <row r="330" spans="1:4" x14ac:dyDescent="0.25">
      <c r="A330" s="4">
        <v>9</v>
      </c>
      <c r="B330" s="4">
        <v>1</v>
      </c>
      <c r="C330" s="4" t="s">
        <v>48</v>
      </c>
      <c r="D330" s="4" t="s">
        <v>4</v>
      </c>
    </row>
    <row r="331" spans="1:4" x14ac:dyDescent="0.25">
      <c r="A331" s="4">
        <v>9</v>
      </c>
      <c r="B331" s="4">
        <v>0</v>
      </c>
      <c r="C331" s="4" t="s">
        <v>49</v>
      </c>
      <c r="D331" s="4" t="s">
        <v>4</v>
      </c>
    </row>
    <row r="332" spans="1:4" x14ac:dyDescent="0.25">
      <c r="A332" s="4">
        <v>9</v>
      </c>
      <c r="B332" s="4">
        <v>0</v>
      </c>
      <c r="C332" s="4" t="s">
        <v>40</v>
      </c>
      <c r="D332" s="4" t="s">
        <v>5</v>
      </c>
    </row>
    <row r="333" spans="1:4" x14ac:dyDescent="0.25">
      <c r="A333" s="4">
        <v>9</v>
      </c>
      <c r="B333" s="4">
        <v>0</v>
      </c>
      <c r="C333" s="4" t="s">
        <v>41</v>
      </c>
      <c r="D333" s="4" t="s">
        <v>5</v>
      </c>
    </row>
    <row r="334" spans="1:4" x14ac:dyDescent="0.25">
      <c r="A334" s="4">
        <v>9</v>
      </c>
      <c r="B334" s="4">
        <v>1</v>
      </c>
      <c r="C334" s="4" t="s">
        <v>42</v>
      </c>
      <c r="D334" s="4" t="s">
        <v>5</v>
      </c>
    </row>
    <row r="335" spans="1:4" x14ac:dyDescent="0.25">
      <c r="A335" s="4">
        <v>9</v>
      </c>
      <c r="B335" s="4">
        <v>1</v>
      </c>
      <c r="C335" s="4" t="s">
        <v>43</v>
      </c>
      <c r="D335" s="4" t="s">
        <v>5</v>
      </c>
    </row>
    <row r="336" spans="1:4" x14ac:dyDescent="0.25">
      <c r="A336" s="4">
        <v>9</v>
      </c>
      <c r="B336" s="4">
        <v>1</v>
      </c>
      <c r="C336" s="4" t="s">
        <v>44</v>
      </c>
      <c r="D336" s="4" t="s">
        <v>5</v>
      </c>
    </row>
    <row r="337" spans="1:4" x14ac:dyDescent="0.25">
      <c r="A337" s="4">
        <v>9</v>
      </c>
      <c r="B337" s="4">
        <v>0</v>
      </c>
      <c r="C337" s="4" t="s">
        <v>45</v>
      </c>
      <c r="D337" s="4" t="s">
        <v>5</v>
      </c>
    </row>
    <row r="338" spans="1:4" x14ac:dyDescent="0.25">
      <c r="A338" s="4">
        <v>9</v>
      </c>
      <c r="B338" s="4">
        <v>0</v>
      </c>
      <c r="C338" s="4" t="s">
        <v>46</v>
      </c>
      <c r="D338" s="4" t="s">
        <v>5</v>
      </c>
    </row>
    <row r="339" spans="1:4" x14ac:dyDescent="0.25">
      <c r="A339" s="4">
        <v>9</v>
      </c>
      <c r="B339" s="4">
        <v>1</v>
      </c>
      <c r="C339" s="4" t="s">
        <v>47</v>
      </c>
      <c r="D339" s="4" t="s">
        <v>5</v>
      </c>
    </row>
    <row r="340" spans="1:4" x14ac:dyDescent="0.25">
      <c r="A340" s="4">
        <v>9</v>
      </c>
      <c r="B340" s="4">
        <v>0</v>
      </c>
      <c r="C340" s="4" t="s">
        <v>48</v>
      </c>
      <c r="D340" s="4" t="s">
        <v>5</v>
      </c>
    </row>
    <row r="341" spans="1:4" x14ac:dyDescent="0.25">
      <c r="A341" s="4">
        <v>9</v>
      </c>
      <c r="B341" s="4">
        <v>0</v>
      </c>
      <c r="C341" s="4" t="s">
        <v>49</v>
      </c>
      <c r="D341" s="4" t="s">
        <v>5</v>
      </c>
    </row>
    <row r="342" spans="1:4" x14ac:dyDescent="0.25">
      <c r="A342" s="4">
        <v>9</v>
      </c>
      <c r="B342" s="4">
        <v>1</v>
      </c>
      <c r="C342" s="4" t="s">
        <v>40</v>
      </c>
      <c r="D342" s="4" t="s">
        <v>6</v>
      </c>
    </row>
    <row r="343" spans="1:4" x14ac:dyDescent="0.25">
      <c r="A343" s="4">
        <v>9</v>
      </c>
      <c r="B343" s="4">
        <v>0</v>
      </c>
      <c r="C343" s="4" t="s">
        <v>41</v>
      </c>
      <c r="D343" s="4" t="s">
        <v>6</v>
      </c>
    </row>
    <row r="344" spans="1:4" x14ac:dyDescent="0.25">
      <c r="A344" s="4">
        <v>9</v>
      </c>
      <c r="B344" s="4">
        <v>0</v>
      </c>
      <c r="C344" s="4" t="s">
        <v>42</v>
      </c>
      <c r="D344" s="4" t="s">
        <v>6</v>
      </c>
    </row>
    <row r="345" spans="1:4" x14ac:dyDescent="0.25">
      <c r="A345" s="4">
        <v>9</v>
      </c>
      <c r="B345" s="4">
        <v>0</v>
      </c>
      <c r="C345" s="4" t="s">
        <v>43</v>
      </c>
      <c r="D345" s="4" t="s">
        <v>6</v>
      </c>
    </row>
    <row r="346" spans="1:4" x14ac:dyDescent="0.25">
      <c r="A346" s="4">
        <v>9</v>
      </c>
      <c r="B346" s="4">
        <v>0</v>
      </c>
      <c r="C346" s="4" t="s">
        <v>44</v>
      </c>
      <c r="D346" s="4" t="s">
        <v>6</v>
      </c>
    </row>
    <row r="347" spans="1:4" x14ac:dyDescent="0.25">
      <c r="A347" s="4">
        <v>9</v>
      </c>
      <c r="B347" s="4">
        <v>0</v>
      </c>
      <c r="C347" s="4" t="s">
        <v>45</v>
      </c>
      <c r="D347" s="4" t="s">
        <v>6</v>
      </c>
    </row>
    <row r="348" spans="1:4" x14ac:dyDescent="0.25">
      <c r="A348" s="4">
        <v>9</v>
      </c>
      <c r="B348" s="4">
        <v>1</v>
      </c>
      <c r="C348" s="4" t="s">
        <v>46</v>
      </c>
      <c r="D348" s="4" t="s">
        <v>6</v>
      </c>
    </row>
    <row r="349" spans="1:4" x14ac:dyDescent="0.25">
      <c r="A349" s="4">
        <v>9</v>
      </c>
      <c r="B349" s="4">
        <v>0</v>
      </c>
      <c r="C349" s="4" t="s">
        <v>47</v>
      </c>
      <c r="D349" s="4" t="s">
        <v>6</v>
      </c>
    </row>
    <row r="350" spans="1:4" x14ac:dyDescent="0.25">
      <c r="A350" s="4">
        <v>9</v>
      </c>
      <c r="B350" s="4">
        <v>0</v>
      </c>
      <c r="C350" s="4" t="s">
        <v>48</v>
      </c>
      <c r="D350" s="4" t="s">
        <v>6</v>
      </c>
    </row>
    <row r="351" spans="1:4" x14ac:dyDescent="0.25">
      <c r="A351" s="4">
        <v>9</v>
      </c>
      <c r="B351" s="4">
        <v>1</v>
      </c>
      <c r="C351" s="4" t="s">
        <v>49</v>
      </c>
      <c r="D351" s="4" t="s">
        <v>6</v>
      </c>
    </row>
    <row r="352" spans="1:4" x14ac:dyDescent="0.25">
      <c r="A352" s="4">
        <v>9</v>
      </c>
      <c r="B352" s="4">
        <v>0</v>
      </c>
      <c r="C352" s="4" t="s">
        <v>40</v>
      </c>
      <c r="D352" s="4" t="s">
        <v>7</v>
      </c>
    </row>
    <row r="353" spans="1:4" x14ac:dyDescent="0.25">
      <c r="A353" s="4">
        <v>9</v>
      </c>
      <c r="B353" s="4">
        <v>1</v>
      </c>
      <c r="C353" s="4" t="s">
        <v>41</v>
      </c>
      <c r="D353" s="4" t="s">
        <v>7</v>
      </c>
    </row>
    <row r="354" spans="1:4" x14ac:dyDescent="0.25">
      <c r="A354" s="4">
        <v>9</v>
      </c>
      <c r="B354" s="4">
        <v>0</v>
      </c>
      <c r="C354" s="4" t="s">
        <v>42</v>
      </c>
      <c r="D354" s="4" t="s">
        <v>7</v>
      </c>
    </row>
    <row r="355" spans="1:4" x14ac:dyDescent="0.25">
      <c r="A355" s="4">
        <v>9</v>
      </c>
      <c r="B355" s="4">
        <v>0</v>
      </c>
      <c r="C355" s="4" t="s">
        <v>43</v>
      </c>
      <c r="D355" s="4" t="s">
        <v>7</v>
      </c>
    </row>
    <row r="356" spans="1:4" x14ac:dyDescent="0.25">
      <c r="A356" s="4">
        <v>9</v>
      </c>
      <c r="B356" s="4">
        <v>0</v>
      </c>
      <c r="C356" s="4" t="s">
        <v>44</v>
      </c>
      <c r="D356" s="4" t="s">
        <v>7</v>
      </c>
    </row>
    <row r="357" spans="1:4" x14ac:dyDescent="0.25">
      <c r="A357" s="4">
        <v>9</v>
      </c>
      <c r="B357" s="4">
        <v>0</v>
      </c>
      <c r="C357" s="4" t="s">
        <v>45</v>
      </c>
      <c r="D357" s="4" t="s">
        <v>7</v>
      </c>
    </row>
    <row r="358" spans="1:4" x14ac:dyDescent="0.25">
      <c r="A358" s="4">
        <v>9</v>
      </c>
      <c r="B358" s="4">
        <v>0</v>
      </c>
      <c r="C358" s="4" t="s">
        <v>46</v>
      </c>
      <c r="D358" s="4" t="s">
        <v>7</v>
      </c>
    </row>
    <row r="359" spans="1:4" x14ac:dyDescent="0.25">
      <c r="A359" s="4">
        <v>9</v>
      </c>
      <c r="B359" s="4">
        <v>0</v>
      </c>
      <c r="C359" s="4" t="s">
        <v>47</v>
      </c>
      <c r="D359" s="4" t="s">
        <v>7</v>
      </c>
    </row>
    <row r="360" spans="1:4" x14ac:dyDescent="0.25">
      <c r="A360" s="4">
        <v>9</v>
      </c>
      <c r="B360" s="4">
        <v>0</v>
      </c>
      <c r="C360" s="4" t="s">
        <v>48</v>
      </c>
      <c r="D360" s="4" t="s">
        <v>7</v>
      </c>
    </row>
    <row r="361" spans="1:4" x14ac:dyDescent="0.25">
      <c r="A361" s="4">
        <v>9</v>
      </c>
      <c r="B361" s="4">
        <v>0</v>
      </c>
      <c r="C361" s="4" t="s">
        <v>49</v>
      </c>
      <c r="D361" s="4" t="s">
        <v>7</v>
      </c>
    </row>
    <row r="362" spans="1:4" x14ac:dyDescent="0.25">
      <c r="A362" s="4">
        <v>10</v>
      </c>
      <c r="B362" s="4">
        <v>0</v>
      </c>
      <c r="C362" s="4" t="s">
        <v>40</v>
      </c>
      <c r="D362" s="4" t="s">
        <v>4</v>
      </c>
    </row>
    <row r="363" spans="1:4" x14ac:dyDescent="0.25">
      <c r="A363" s="4">
        <v>10</v>
      </c>
      <c r="B363" s="4">
        <v>0</v>
      </c>
      <c r="C363" s="4" t="s">
        <v>41</v>
      </c>
      <c r="D363" s="4" t="s">
        <v>4</v>
      </c>
    </row>
    <row r="364" spans="1:4" x14ac:dyDescent="0.25">
      <c r="A364" s="4">
        <v>10</v>
      </c>
      <c r="B364" s="4">
        <v>0</v>
      </c>
      <c r="C364" s="4" t="s">
        <v>42</v>
      </c>
      <c r="D364" s="4" t="s">
        <v>4</v>
      </c>
    </row>
    <row r="365" spans="1:4" x14ac:dyDescent="0.25">
      <c r="A365" s="4">
        <v>10</v>
      </c>
      <c r="B365" s="4">
        <v>1</v>
      </c>
      <c r="C365" s="4" t="s">
        <v>43</v>
      </c>
      <c r="D365" s="4" t="s">
        <v>4</v>
      </c>
    </row>
    <row r="366" spans="1:4" x14ac:dyDescent="0.25">
      <c r="A366" s="4">
        <v>10</v>
      </c>
      <c r="B366" s="4">
        <v>0</v>
      </c>
      <c r="C366" s="4" t="s">
        <v>44</v>
      </c>
      <c r="D366" s="4" t="s">
        <v>4</v>
      </c>
    </row>
    <row r="367" spans="1:4" x14ac:dyDescent="0.25">
      <c r="A367" s="4">
        <v>10</v>
      </c>
      <c r="B367" s="4">
        <v>1</v>
      </c>
      <c r="C367" s="4" t="s">
        <v>45</v>
      </c>
      <c r="D367" s="4" t="s">
        <v>4</v>
      </c>
    </row>
    <row r="368" spans="1:4" x14ac:dyDescent="0.25">
      <c r="A368" s="4">
        <v>10</v>
      </c>
      <c r="B368" s="4">
        <v>0</v>
      </c>
      <c r="C368" s="4" t="s">
        <v>46</v>
      </c>
      <c r="D368" s="4" t="s">
        <v>4</v>
      </c>
    </row>
    <row r="369" spans="1:4" x14ac:dyDescent="0.25">
      <c r="A369" s="4">
        <v>10</v>
      </c>
      <c r="B369" s="4">
        <v>0</v>
      </c>
      <c r="C369" s="4" t="s">
        <v>47</v>
      </c>
      <c r="D369" s="4" t="s">
        <v>4</v>
      </c>
    </row>
    <row r="370" spans="1:4" x14ac:dyDescent="0.25">
      <c r="A370" s="4">
        <v>10</v>
      </c>
      <c r="B370" s="4">
        <v>0</v>
      </c>
      <c r="C370" s="4" t="s">
        <v>48</v>
      </c>
      <c r="D370" s="4" t="s">
        <v>4</v>
      </c>
    </row>
    <row r="371" spans="1:4" x14ac:dyDescent="0.25">
      <c r="A371" s="4">
        <v>10</v>
      </c>
      <c r="B371" s="4">
        <v>0</v>
      </c>
      <c r="C371" s="4" t="s">
        <v>49</v>
      </c>
      <c r="D371" s="4" t="s">
        <v>4</v>
      </c>
    </row>
    <row r="372" spans="1:4" x14ac:dyDescent="0.25">
      <c r="A372" s="4">
        <v>10</v>
      </c>
      <c r="B372" s="4">
        <v>1</v>
      </c>
      <c r="C372" s="4" t="s">
        <v>40</v>
      </c>
      <c r="D372" s="4" t="s">
        <v>5</v>
      </c>
    </row>
    <row r="373" spans="1:4" x14ac:dyDescent="0.25">
      <c r="A373" s="4">
        <v>10</v>
      </c>
      <c r="B373" s="4">
        <v>0</v>
      </c>
      <c r="C373" s="4" t="s">
        <v>41</v>
      </c>
      <c r="D373" s="4" t="s">
        <v>5</v>
      </c>
    </row>
    <row r="374" spans="1:4" x14ac:dyDescent="0.25">
      <c r="A374" s="4">
        <v>10</v>
      </c>
      <c r="B374" s="4">
        <v>1</v>
      </c>
      <c r="C374" s="4" t="s">
        <v>42</v>
      </c>
      <c r="D374" s="4" t="s">
        <v>5</v>
      </c>
    </row>
    <row r="375" spans="1:4" x14ac:dyDescent="0.25">
      <c r="A375" s="4">
        <v>10</v>
      </c>
      <c r="B375" s="4">
        <v>0</v>
      </c>
      <c r="C375" s="4" t="s">
        <v>43</v>
      </c>
      <c r="D375" s="4" t="s">
        <v>5</v>
      </c>
    </row>
    <row r="376" spans="1:4" x14ac:dyDescent="0.25">
      <c r="A376" s="4">
        <v>10</v>
      </c>
      <c r="B376" s="4">
        <v>1</v>
      </c>
      <c r="C376" s="4" t="s">
        <v>44</v>
      </c>
      <c r="D376" s="4" t="s">
        <v>5</v>
      </c>
    </row>
    <row r="377" spans="1:4" x14ac:dyDescent="0.25">
      <c r="A377" s="4">
        <v>10</v>
      </c>
      <c r="B377" s="4">
        <v>0</v>
      </c>
      <c r="C377" s="4" t="s">
        <v>45</v>
      </c>
      <c r="D377" s="4" t="s">
        <v>5</v>
      </c>
    </row>
    <row r="378" spans="1:4" x14ac:dyDescent="0.25">
      <c r="A378" s="4">
        <v>10</v>
      </c>
      <c r="B378" s="4">
        <v>0</v>
      </c>
      <c r="C378" s="4" t="s">
        <v>46</v>
      </c>
      <c r="D378" s="4" t="s">
        <v>5</v>
      </c>
    </row>
    <row r="379" spans="1:4" x14ac:dyDescent="0.25">
      <c r="A379" s="4">
        <v>10</v>
      </c>
      <c r="B379" s="4">
        <v>1</v>
      </c>
      <c r="C379" s="4" t="s">
        <v>47</v>
      </c>
      <c r="D379" s="4" t="s">
        <v>5</v>
      </c>
    </row>
    <row r="380" spans="1:4" x14ac:dyDescent="0.25">
      <c r="A380" s="4">
        <v>10</v>
      </c>
      <c r="B380" s="4">
        <v>1</v>
      </c>
      <c r="C380" s="4" t="s">
        <v>48</v>
      </c>
      <c r="D380" s="4" t="s">
        <v>5</v>
      </c>
    </row>
    <row r="381" spans="1:4" x14ac:dyDescent="0.25">
      <c r="A381" s="4">
        <v>10</v>
      </c>
      <c r="B381" s="4">
        <v>0</v>
      </c>
      <c r="C381" s="4" t="s">
        <v>49</v>
      </c>
      <c r="D381" s="4" t="s">
        <v>5</v>
      </c>
    </row>
    <row r="382" spans="1:4" x14ac:dyDescent="0.25">
      <c r="A382" s="4">
        <v>10</v>
      </c>
      <c r="B382" s="4">
        <v>0</v>
      </c>
      <c r="C382" s="4" t="s">
        <v>40</v>
      </c>
      <c r="D382" s="4" t="s">
        <v>6</v>
      </c>
    </row>
    <row r="383" spans="1:4" x14ac:dyDescent="0.25">
      <c r="A383" s="4">
        <v>10</v>
      </c>
      <c r="B383" s="4">
        <v>1</v>
      </c>
      <c r="C383" s="4" t="s">
        <v>41</v>
      </c>
      <c r="D383" s="4" t="s">
        <v>6</v>
      </c>
    </row>
    <row r="384" spans="1:4" x14ac:dyDescent="0.25">
      <c r="A384" s="4">
        <v>10</v>
      </c>
      <c r="B384" s="4">
        <v>0</v>
      </c>
      <c r="C384" s="4" t="s">
        <v>42</v>
      </c>
      <c r="D384" s="4" t="s">
        <v>6</v>
      </c>
    </row>
    <row r="385" spans="1:4" x14ac:dyDescent="0.25">
      <c r="A385" s="4">
        <v>10</v>
      </c>
      <c r="B385" s="4">
        <v>0</v>
      </c>
      <c r="C385" s="4" t="s">
        <v>43</v>
      </c>
      <c r="D385" s="4" t="s">
        <v>6</v>
      </c>
    </row>
    <row r="386" spans="1:4" x14ac:dyDescent="0.25">
      <c r="A386" s="4">
        <v>10</v>
      </c>
      <c r="B386" s="4">
        <v>0</v>
      </c>
      <c r="C386" s="4" t="s">
        <v>44</v>
      </c>
      <c r="D386" s="4" t="s">
        <v>6</v>
      </c>
    </row>
    <row r="387" spans="1:4" x14ac:dyDescent="0.25">
      <c r="A387" s="4">
        <v>10</v>
      </c>
      <c r="B387" s="4">
        <v>0</v>
      </c>
      <c r="C387" s="4" t="s">
        <v>45</v>
      </c>
      <c r="D387" s="4" t="s">
        <v>6</v>
      </c>
    </row>
    <row r="388" spans="1:4" x14ac:dyDescent="0.25">
      <c r="A388" s="4">
        <v>10</v>
      </c>
      <c r="B388" s="4">
        <v>0</v>
      </c>
      <c r="C388" s="4" t="s">
        <v>46</v>
      </c>
      <c r="D388" s="4" t="s">
        <v>6</v>
      </c>
    </row>
    <row r="389" spans="1:4" x14ac:dyDescent="0.25">
      <c r="A389" s="4">
        <v>10</v>
      </c>
      <c r="B389" s="4">
        <v>0</v>
      </c>
      <c r="C389" s="4" t="s">
        <v>47</v>
      </c>
      <c r="D389" s="4" t="s">
        <v>6</v>
      </c>
    </row>
    <row r="390" spans="1:4" x14ac:dyDescent="0.25">
      <c r="A390" s="4">
        <v>10</v>
      </c>
      <c r="B390" s="4">
        <v>0</v>
      </c>
      <c r="C390" s="4" t="s">
        <v>48</v>
      </c>
      <c r="D390" s="4" t="s">
        <v>6</v>
      </c>
    </row>
    <row r="391" spans="1:4" x14ac:dyDescent="0.25">
      <c r="A391" s="4">
        <v>10</v>
      </c>
      <c r="B391" s="4">
        <v>1</v>
      </c>
      <c r="C391" s="4" t="s">
        <v>49</v>
      </c>
      <c r="D391" s="4" t="s">
        <v>6</v>
      </c>
    </row>
    <row r="392" spans="1:4" x14ac:dyDescent="0.25">
      <c r="A392" s="4">
        <v>10</v>
      </c>
      <c r="B392" s="4">
        <v>0</v>
      </c>
      <c r="C392" s="4" t="s">
        <v>40</v>
      </c>
      <c r="D392" s="4" t="s">
        <v>7</v>
      </c>
    </row>
    <row r="393" spans="1:4" x14ac:dyDescent="0.25">
      <c r="A393" s="4">
        <v>10</v>
      </c>
      <c r="B393" s="4">
        <v>0</v>
      </c>
      <c r="C393" s="4" t="s">
        <v>41</v>
      </c>
      <c r="D393" s="4" t="s">
        <v>7</v>
      </c>
    </row>
    <row r="394" spans="1:4" x14ac:dyDescent="0.25">
      <c r="A394" s="4">
        <v>10</v>
      </c>
      <c r="B394" s="4">
        <v>0</v>
      </c>
      <c r="C394" s="4" t="s">
        <v>42</v>
      </c>
      <c r="D394" s="4" t="s">
        <v>7</v>
      </c>
    </row>
    <row r="395" spans="1:4" x14ac:dyDescent="0.25">
      <c r="A395" s="4">
        <v>10</v>
      </c>
      <c r="B395" s="4">
        <v>0</v>
      </c>
      <c r="C395" s="4" t="s">
        <v>43</v>
      </c>
      <c r="D395" s="4" t="s">
        <v>7</v>
      </c>
    </row>
    <row r="396" spans="1:4" x14ac:dyDescent="0.25">
      <c r="A396" s="4">
        <v>10</v>
      </c>
      <c r="B396" s="4">
        <v>0</v>
      </c>
      <c r="C396" s="4" t="s">
        <v>44</v>
      </c>
      <c r="D396" s="4" t="s">
        <v>7</v>
      </c>
    </row>
    <row r="397" spans="1:4" x14ac:dyDescent="0.25">
      <c r="A397" s="4">
        <v>10</v>
      </c>
      <c r="B397" s="4">
        <v>0</v>
      </c>
      <c r="C397" s="4" t="s">
        <v>45</v>
      </c>
      <c r="D397" s="4" t="s">
        <v>7</v>
      </c>
    </row>
    <row r="398" spans="1:4" x14ac:dyDescent="0.25">
      <c r="A398" s="4">
        <v>10</v>
      </c>
      <c r="B398" s="4">
        <v>1</v>
      </c>
      <c r="C398" s="4" t="s">
        <v>46</v>
      </c>
      <c r="D398" s="4" t="s">
        <v>7</v>
      </c>
    </row>
    <row r="399" spans="1:4" x14ac:dyDescent="0.25">
      <c r="A399" s="4">
        <v>10</v>
      </c>
      <c r="B399" s="4">
        <v>0</v>
      </c>
      <c r="C399" s="4" t="s">
        <v>47</v>
      </c>
      <c r="D399" s="4" t="s">
        <v>7</v>
      </c>
    </row>
    <row r="400" spans="1:4" x14ac:dyDescent="0.25">
      <c r="A400" s="4">
        <v>10</v>
      </c>
      <c r="B400" s="4">
        <v>0</v>
      </c>
      <c r="C400" s="4" t="s">
        <v>48</v>
      </c>
      <c r="D400" s="4" t="s">
        <v>7</v>
      </c>
    </row>
    <row r="401" spans="1:4" x14ac:dyDescent="0.25">
      <c r="A401" s="4">
        <v>10</v>
      </c>
      <c r="B401" s="4">
        <v>0</v>
      </c>
      <c r="C401" s="4" t="s">
        <v>49</v>
      </c>
      <c r="D401" s="4" t="s">
        <v>7</v>
      </c>
    </row>
    <row r="402" spans="1:4" x14ac:dyDescent="0.25">
      <c r="A402" s="4">
        <v>11</v>
      </c>
      <c r="B402" s="4">
        <v>0</v>
      </c>
      <c r="C402" s="4" t="s">
        <v>40</v>
      </c>
      <c r="D402" s="4" t="s">
        <v>4</v>
      </c>
    </row>
    <row r="403" spans="1:4" x14ac:dyDescent="0.25">
      <c r="A403" s="4">
        <v>11</v>
      </c>
      <c r="B403" s="4">
        <v>0</v>
      </c>
      <c r="C403" s="4" t="s">
        <v>41</v>
      </c>
      <c r="D403" s="4" t="s">
        <v>4</v>
      </c>
    </row>
    <row r="404" spans="1:4" x14ac:dyDescent="0.25">
      <c r="A404" s="4">
        <v>11</v>
      </c>
      <c r="B404" s="4">
        <v>0</v>
      </c>
      <c r="C404" s="4" t="s">
        <v>42</v>
      </c>
      <c r="D404" s="4" t="s">
        <v>4</v>
      </c>
    </row>
    <row r="405" spans="1:4" x14ac:dyDescent="0.25">
      <c r="A405" s="4">
        <v>11</v>
      </c>
      <c r="B405" s="4">
        <v>0</v>
      </c>
      <c r="C405" s="4" t="s">
        <v>43</v>
      </c>
      <c r="D405" s="4" t="s">
        <v>4</v>
      </c>
    </row>
    <row r="406" spans="1:4" x14ac:dyDescent="0.25">
      <c r="A406" s="4">
        <v>11</v>
      </c>
      <c r="B406" s="4">
        <v>0</v>
      </c>
      <c r="C406" s="4" t="s">
        <v>44</v>
      </c>
      <c r="D406" s="4" t="s">
        <v>4</v>
      </c>
    </row>
    <row r="407" spans="1:4" x14ac:dyDescent="0.25">
      <c r="A407" s="4">
        <v>11</v>
      </c>
      <c r="B407" s="4">
        <v>1</v>
      </c>
      <c r="C407" s="4" t="s">
        <v>45</v>
      </c>
      <c r="D407" s="4" t="s">
        <v>4</v>
      </c>
    </row>
    <row r="408" spans="1:4" x14ac:dyDescent="0.25">
      <c r="A408" s="4">
        <v>11</v>
      </c>
      <c r="B408" s="4">
        <v>0</v>
      </c>
      <c r="C408" s="4" t="s">
        <v>46</v>
      </c>
      <c r="D408" s="4" t="s">
        <v>4</v>
      </c>
    </row>
    <row r="409" spans="1:4" x14ac:dyDescent="0.25">
      <c r="A409" s="4">
        <v>11</v>
      </c>
      <c r="B409" s="4">
        <v>0</v>
      </c>
      <c r="C409" s="4" t="s">
        <v>47</v>
      </c>
      <c r="D409" s="4" t="s">
        <v>4</v>
      </c>
    </row>
    <row r="410" spans="1:4" x14ac:dyDescent="0.25">
      <c r="A410" s="4">
        <v>11</v>
      </c>
      <c r="B410" s="4">
        <v>1</v>
      </c>
      <c r="C410" s="4" t="s">
        <v>48</v>
      </c>
      <c r="D410" s="4" t="s">
        <v>4</v>
      </c>
    </row>
    <row r="411" spans="1:4" x14ac:dyDescent="0.25">
      <c r="A411" s="4">
        <v>11</v>
      </c>
      <c r="B411" s="4">
        <v>0</v>
      </c>
      <c r="C411" s="4" t="s">
        <v>49</v>
      </c>
      <c r="D411" s="4" t="s">
        <v>4</v>
      </c>
    </row>
    <row r="412" spans="1:4" x14ac:dyDescent="0.25">
      <c r="A412" s="4">
        <v>11</v>
      </c>
      <c r="B412" s="4">
        <v>0</v>
      </c>
      <c r="C412" s="4" t="s">
        <v>40</v>
      </c>
      <c r="D412" s="4" t="s">
        <v>5</v>
      </c>
    </row>
    <row r="413" spans="1:4" x14ac:dyDescent="0.25">
      <c r="A413" s="4">
        <v>11</v>
      </c>
      <c r="B413" s="4">
        <v>0</v>
      </c>
      <c r="C413" s="4" t="s">
        <v>41</v>
      </c>
      <c r="D413" s="4" t="s">
        <v>5</v>
      </c>
    </row>
    <row r="414" spans="1:4" x14ac:dyDescent="0.25">
      <c r="A414" s="4">
        <v>11</v>
      </c>
      <c r="B414" s="4">
        <v>1</v>
      </c>
      <c r="C414" s="4" t="s">
        <v>42</v>
      </c>
      <c r="D414" s="4" t="s">
        <v>5</v>
      </c>
    </row>
    <row r="415" spans="1:4" x14ac:dyDescent="0.25">
      <c r="A415" s="4">
        <v>11</v>
      </c>
      <c r="B415" s="4">
        <v>1</v>
      </c>
      <c r="C415" s="4" t="s">
        <v>43</v>
      </c>
      <c r="D415" s="4" t="s">
        <v>5</v>
      </c>
    </row>
    <row r="416" spans="1:4" x14ac:dyDescent="0.25">
      <c r="A416" s="4">
        <v>11</v>
      </c>
      <c r="B416" s="4">
        <v>1</v>
      </c>
      <c r="C416" s="4" t="s">
        <v>44</v>
      </c>
      <c r="D416" s="4" t="s">
        <v>5</v>
      </c>
    </row>
    <row r="417" spans="1:4" x14ac:dyDescent="0.25">
      <c r="A417" s="4">
        <v>11</v>
      </c>
      <c r="B417" s="4">
        <v>0</v>
      </c>
      <c r="C417" s="4" t="s">
        <v>45</v>
      </c>
      <c r="D417" s="4" t="s">
        <v>5</v>
      </c>
    </row>
    <row r="418" spans="1:4" x14ac:dyDescent="0.25">
      <c r="A418" s="4">
        <v>11</v>
      </c>
      <c r="B418" s="4">
        <v>0</v>
      </c>
      <c r="C418" s="4" t="s">
        <v>46</v>
      </c>
      <c r="D418" s="4" t="s">
        <v>5</v>
      </c>
    </row>
    <row r="419" spans="1:4" x14ac:dyDescent="0.25">
      <c r="A419" s="4">
        <v>11</v>
      </c>
      <c r="B419" s="4">
        <v>1</v>
      </c>
      <c r="C419" s="4" t="s">
        <v>47</v>
      </c>
      <c r="D419" s="4" t="s">
        <v>5</v>
      </c>
    </row>
    <row r="420" spans="1:4" x14ac:dyDescent="0.25">
      <c r="A420" s="4">
        <v>11</v>
      </c>
      <c r="B420" s="4">
        <v>0</v>
      </c>
      <c r="C420" s="4" t="s">
        <v>48</v>
      </c>
      <c r="D420" s="4" t="s">
        <v>5</v>
      </c>
    </row>
    <row r="421" spans="1:4" x14ac:dyDescent="0.25">
      <c r="A421" s="4">
        <v>11</v>
      </c>
      <c r="B421" s="4">
        <v>0</v>
      </c>
      <c r="C421" s="4" t="s">
        <v>49</v>
      </c>
      <c r="D421" s="4" t="s">
        <v>5</v>
      </c>
    </row>
    <row r="422" spans="1:4" x14ac:dyDescent="0.25">
      <c r="A422" s="4">
        <v>11</v>
      </c>
      <c r="B422" s="4">
        <v>1</v>
      </c>
      <c r="C422" s="4" t="s">
        <v>40</v>
      </c>
      <c r="D422" s="4" t="s">
        <v>6</v>
      </c>
    </row>
    <row r="423" spans="1:4" x14ac:dyDescent="0.25">
      <c r="A423" s="4">
        <v>11</v>
      </c>
      <c r="B423" s="4">
        <v>0</v>
      </c>
      <c r="C423" s="4" t="s">
        <v>41</v>
      </c>
      <c r="D423" s="4" t="s">
        <v>6</v>
      </c>
    </row>
    <row r="424" spans="1:4" x14ac:dyDescent="0.25">
      <c r="A424" s="4">
        <v>11</v>
      </c>
      <c r="B424" s="4">
        <v>0</v>
      </c>
      <c r="C424" s="4" t="s">
        <v>42</v>
      </c>
      <c r="D424" s="4" t="s">
        <v>6</v>
      </c>
    </row>
    <row r="425" spans="1:4" x14ac:dyDescent="0.25">
      <c r="A425" s="4">
        <v>11</v>
      </c>
      <c r="B425" s="4">
        <v>0</v>
      </c>
      <c r="C425" s="4" t="s">
        <v>43</v>
      </c>
      <c r="D425" s="4" t="s">
        <v>6</v>
      </c>
    </row>
    <row r="426" spans="1:4" x14ac:dyDescent="0.25">
      <c r="A426" s="4">
        <v>11</v>
      </c>
      <c r="B426" s="4">
        <v>0</v>
      </c>
      <c r="C426" s="4" t="s">
        <v>44</v>
      </c>
      <c r="D426" s="4" t="s">
        <v>6</v>
      </c>
    </row>
    <row r="427" spans="1:4" x14ac:dyDescent="0.25">
      <c r="A427" s="4">
        <v>11</v>
      </c>
      <c r="B427" s="4">
        <v>0</v>
      </c>
      <c r="C427" s="4" t="s">
        <v>45</v>
      </c>
      <c r="D427" s="4" t="s">
        <v>6</v>
      </c>
    </row>
    <row r="428" spans="1:4" x14ac:dyDescent="0.25">
      <c r="A428" s="4">
        <v>11</v>
      </c>
      <c r="B428" s="4">
        <v>1</v>
      </c>
      <c r="C428" s="4" t="s">
        <v>46</v>
      </c>
      <c r="D428" s="4" t="s">
        <v>6</v>
      </c>
    </row>
    <row r="429" spans="1:4" x14ac:dyDescent="0.25">
      <c r="A429" s="4">
        <v>11</v>
      </c>
      <c r="B429" s="4">
        <v>0</v>
      </c>
      <c r="C429" s="4" t="s">
        <v>47</v>
      </c>
      <c r="D429" s="4" t="s">
        <v>6</v>
      </c>
    </row>
    <row r="430" spans="1:4" x14ac:dyDescent="0.25">
      <c r="A430" s="4">
        <v>11</v>
      </c>
      <c r="B430" s="4">
        <v>0</v>
      </c>
      <c r="C430" s="4" t="s">
        <v>48</v>
      </c>
      <c r="D430" s="4" t="s">
        <v>6</v>
      </c>
    </row>
    <row r="431" spans="1:4" x14ac:dyDescent="0.25">
      <c r="A431" s="4">
        <v>11</v>
      </c>
      <c r="B431" s="4">
        <v>1</v>
      </c>
      <c r="C431" s="4" t="s">
        <v>49</v>
      </c>
      <c r="D431" s="4" t="s">
        <v>6</v>
      </c>
    </row>
    <row r="432" spans="1:4" x14ac:dyDescent="0.25">
      <c r="A432" s="4">
        <v>11</v>
      </c>
      <c r="B432" s="4">
        <v>0</v>
      </c>
      <c r="C432" s="4" t="s">
        <v>40</v>
      </c>
      <c r="D432" s="4" t="s">
        <v>7</v>
      </c>
    </row>
    <row r="433" spans="1:4" x14ac:dyDescent="0.25">
      <c r="A433" s="4">
        <v>11</v>
      </c>
      <c r="B433" s="4">
        <v>1</v>
      </c>
      <c r="C433" s="4" t="s">
        <v>41</v>
      </c>
      <c r="D433" s="4" t="s">
        <v>7</v>
      </c>
    </row>
    <row r="434" spans="1:4" x14ac:dyDescent="0.25">
      <c r="A434" s="4">
        <v>11</v>
      </c>
      <c r="B434" s="4">
        <v>0</v>
      </c>
      <c r="C434" s="4" t="s">
        <v>42</v>
      </c>
      <c r="D434" s="4" t="s">
        <v>7</v>
      </c>
    </row>
    <row r="435" spans="1:4" x14ac:dyDescent="0.25">
      <c r="A435" s="4">
        <v>11</v>
      </c>
      <c r="B435" s="4">
        <v>0</v>
      </c>
      <c r="C435" s="4" t="s">
        <v>43</v>
      </c>
      <c r="D435" s="4" t="s">
        <v>7</v>
      </c>
    </row>
    <row r="436" spans="1:4" x14ac:dyDescent="0.25">
      <c r="A436" s="4">
        <v>11</v>
      </c>
      <c r="B436" s="4">
        <v>0</v>
      </c>
      <c r="C436" s="4" t="s">
        <v>44</v>
      </c>
      <c r="D436" s="4" t="s">
        <v>7</v>
      </c>
    </row>
    <row r="437" spans="1:4" x14ac:dyDescent="0.25">
      <c r="A437" s="4">
        <v>11</v>
      </c>
      <c r="B437" s="4">
        <v>0</v>
      </c>
      <c r="C437" s="4" t="s">
        <v>45</v>
      </c>
      <c r="D437" s="4" t="s">
        <v>7</v>
      </c>
    </row>
    <row r="438" spans="1:4" x14ac:dyDescent="0.25">
      <c r="A438" s="4">
        <v>11</v>
      </c>
      <c r="B438" s="4">
        <v>0</v>
      </c>
      <c r="C438" s="4" t="s">
        <v>46</v>
      </c>
      <c r="D438" s="4" t="s">
        <v>7</v>
      </c>
    </row>
    <row r="439" spans="1:4" x14ac:dyDescent="0.25">
      <c r="A439" s="4">
        <v>11</v>
      </c>
      <c r="B439" s="4">
        <v>0</v>
      </c>
      <c r="C439" s="4" t="s">
        <v>47</v>
      </c>
      <c r="D439" s="4" t="s">
        <v>7</v>
      </c>
    </row>
    <row r="440" spans="1:4" x14ac:dyDescent="0.25">
      <c r="A440" s="4">
        <v>11</v>
      </c>
      <c r="B440" s="4">
        <v>0</v>
      </c>
      <c r="C440" s="4" t="s">
        <v>48</v>
      </c>
      <c r="D440" s="4" t="s">
        <v>7</v>
      </c>
    </row>
    <row r="441" spans="1:4" x14ac:dyDescent="0.25">
      <c r="A441" s="4">
        <v>11</v>
      </c>
      <c r="B441" s="4">
        <v>0</v>
      </c>
      <c r="C441" s="4" t="s">
        <v>49</v>
      </c>
      <c r="D441" s="4" t="s">
        <v>7</v>
      </c>
    </row>
    <row r="442" spans="1:4" x14ac:dyDescent="0.25">
      <c r="A442" s="4">
        <v>12</v>
      </c>
      <c r="B442" s="4">
        <v>0</v>
      </c>
      <c r="C442" s="4" t="s">
        <v>40</v>
      </c>
      <c r="D442" s="4" t="s">
        <v>4</v>
      </c>
    </row>
    <row r="443" spans="1:4" x14ac:dyDescent="0.25">
      <c r="A443" s="4">
        <v>12</v>
      </c>
      <c r="B443" s="4">
        <v>0</v>
      </c>
      <c r="C443" s="4" t="s">
        <v>41</v>
      </c>
      <c r="D443" s="4" t="s">
        <v>4</v>
      </c>
    </row>
    <row r="444" spans="1:4" x14ac:dyDescent="0.25">
      <c r="A444" s="4">
        <v>12</v>
      </c>
      <c r="B444" s="4">
        <v>0</v>
      </c>
      <c r="C444" s="4" t="s">
        <v>42</v>
      </c>
      <c r="D444" s="4" t="s">
        <v>4</v>
      </c>
    </row>
    <row r="445" spans="1:4" x14ac:dyDescent="0.25">
      <c r="A445" s="4">
        <v>12</v>
      </c>
      <c r="B445" s="4">
        <v>0</v>
      </c>
      <c r="C445" s="4" t="s">
        <v>43</v>
      </c>
      <c r="D445" s="4" t="s">
        <v>4</v>
      </c>
    </row>
    <row r="446" spans="1:4" x14ac:dyDescent="0.25">
      <c r="A446" s="4">
        <v>12</v>
      </c>
      <c r="B446" s="4">
        <v>0</v>
      </c>
      <c r="C446" s="4" t="s">
        <v>44</v>
      </c>
      <c r="D446" s="4" t="s">
        <v>4</v>
      </c>
    </row>
    <row r="447" spans="1:4" x14ac:dyDescent="0.25">
      <c r="A447" s="4">
        <v>12</v>
      </c>
      <c r="B447" s="4">
        <v>1</v>
      </c>
      <c r="C447" s="4" t="s">
        <v>45</v>
      </c>
      <c r="D447" s="4" t="s">
        <v>4</v>
      </c>
    </row>
    <row r="448" spans="1:4" x14ac:dyDescent="0.25">
      <c r="A448" s="4">
        <v>12</v>
      </c>
      <c r="B448" s="4">
        <v>0</v>
      </c>
      <c r="C448" s="4" t="s">
        <v>46</v>
      </c>
      <c r="D448" s="4" t="s">
        <v>4</v>
      </c>
    </row>
    <row r="449" spans="1:4" x14ac:dyDescent="0.25">
      <c r="A449" s="4">
        <v>12</v>
      </c>
      <c r="B449" s="4">
        <v>0</v>
      </c>
      <c r="C449" s="4" t="s">
        <v>47</v>
      </c>
      <c r="D449" s="4" t="s">
        <v>4</v>
      </c>
    </row>
    <row r="450" spans="1:4" x14ac:dyDescent="0.25">
      <c r="A450" s="4">
        <v>12</v>
      </c>
      <c r="B450" s="4">
        <v>1</v>
      </c>
      <c r="C450" s="4" t="s">
        <v>48</v>
      </c>
      <c r="D450" s="4" t="s">
        <v>4</v>
      </c>
    </row>
    <row r="451" spans="1:4" x14ac:dyDescent="0.25">
      <c r="A451" s="4">
        <v>12</v>
      </c>
      <c r="B451" s="4">
        <v>0</v>
      </c>
      <c r="C451" s="4" t="s">
        <v>49</v>
      </c>
      <c r="D451" s="4" t="s">
        <v>4</v>
      </c>
    </row>
    <row r="452" spans="1:4" x14ac:dyDescent="0.25">
      <c r="A452" s="4">
        <v>12</v>
      </c>
      <c r="B452" s="4">
        <v>0</v>
      </c>
      <c r="C452" s="4" t="s">
        <v>40</v>
      </c>
      <c r="D452" s="4" t="s">
        <v>5</v>
      </c>
    </row>
    <row r="453" spans="1:4" x14ac:dyDescent="0.25">
      <c r="A453" s="4">
        <v>12</v>
      </c>
      <c r="B453" s="4">
        <v>0</v>
      </c>
      <c r="C453" s="4" t="s">
        <v>41</v>
      </c>
      <c r="D453" s="4" t="s">
        <v>5</v>
      </c>
    </row>
    <row r="454" spans="1:4" x14ac:dyDescent="0.25">
      <c r="A454" s="4">
        <v>12</v>
      </c>
      <c r="B454" s="4">
        <v>1</v>
      </c>
      <c r="C454" s="4" t="s">
        <v>42</v>
      </c>
      <c r="D454" s="4" t="s">
        <v>5</v>
      </c>
    </row>
    <row r="455" spans="1:4" x14ac:dyDescent="0.25">
      <c r="A455" s="4">
        <v>12</v>
      </c>
      <c r="B455" s="4">
        <v>0</v>
      </c>
      <c r="C455" s="4" t="s">
        <v>43</v>
      </c>
      <c r="D455" s="4" t="s">
        <v>5</v>
      </c>
    </row>
    <row r="456" spans="1:4" x14ac:dyDescent="0.25">
      <c r="A456" s="4">
        <v>12</v>
      </c>
      <c r="B456" s="4">
        <v>1</v>
      </c>
      <c r="C456" s="4" t="s">
        <v>44</v>
      </c>
      <c r="D456" s="4" t="s">
        <v>5</v>
      </c>
    </row>
    <row r="457" spans="1:4" x14ac:dyDescent="0.25">
      <c r="A457" s="4">
        <v>12</v>
      </c>
      <c r="B457" s="4">
        <v>0</v>
      </c>
      <c r="C457" s="4" t="s">
        <v>45</v>
      </c>
      <c r="D457" s="4" t="s">
        <v>5</v>
      </c>
    </row>
    <row r="458" spans="1:4" x14ac:dyDescent="0.25">
      <c r="A458" s="4">
        <v>12</v>
      </c>
      <c r="B458" s="4">
        <v>0</v>
      </c>
      <c r="C458" s="4" t="s">
        <v>46</v>
      </c>
      <c r="D458" s="4" t="s">
        <v>5</v>
      </c>
    </row>
    <row r="459" spans="1:4" x14ac:dyDescent="0.25">
      <c r="A459" s="4">
        <v>12</v>
      </c>
      <c r="B459" s="4">
        <v>1</v>
      </c>
      <c r="C459" s="4" t="s">
        <v>47</v>
      </c>
      <c r="D459" s="4" t="s">
        <v>5</v>
      </c>
    </row>
    <row r="460" spans="1:4" x14ac:dyDescent="0.25">
      <c r="A460" s="4">
        <v>12</v>
      </c>
      <c r="B460" s="4">
        <v>0</v>
      </c>
      <c r="C460" s="4" t="s">
        <v>48</v>
      </c>
      <c r="D460" s="4" t="s">
        <v>5</v>
      </c>
    </row>
    <row r="461" spans="1:4" x14ac:dyDescent="0.25">
      <c r="A461" s="4">
        <v>12</v>
      </c>
      <c r="B461" s="4">
        <v>1</v>
      </c>
      <c r="C461" s="4" t="s">
        <v>49</v>
      </c>
      <c r="D461" s="4" t="s">
        <v>5</v>
      </c>
    </row>
    <row r="462" spans="1:4" x14ac:dyDescent="0.25">
      <c r="A462" s="4">
        <v>12</v>
      </c>
      <c r="B462" s="4">
        <v>1</v>
      </c>
      <c r="C462" s="4" t="s">
        <v>40</v>
      </c>
      <c r="D462" s="4" t="s">
        <v>6</v>
      </c>
    </row>
    <row r="463" spans="1:4" x14ac:dyDescent="0.25">
      <c r="A463" s="4">
        <v>12</v>
      </c>
      <c r="B463" s="4">
        <v>1</v>
      </c>
      <c r="C463" s="4" t="s">
        <v>41</v>
      </c>
      <c r="D463" s="4" t="s">
        <v>6</v>
      </c>
    </row>
    <row r="464" spans="1:4" x14ac:dyDescent="0.25">
      <c r="A464" s="4">
        <v>12</v>
      </c>
      <c r="B464" s="4">
        <v>0</v>
      </c>
      <c r="C464" s="4" t="s">
        <v>42</v>
      </c>
      <c r="D464" s="4" t="s">
        <v>6</v>
      </c>
    </row>
    <row r="465" spans="1:4" x14ac:dyDescent="0.25">
      <c r="A465" s="4">
        <v>12</v>
      </c>
      <c r="B465" s="4">
        <v>1</v>
      </c>
      <c r="C465" s="4" t="s">
        <v>43</v>
      </c>
      <c r="D465" s="4" t="s">
        <v>6</v>
      </c>
    </row>
    <row r="466" spans="1:4" x14ac:dyDescent="0.25">
      <c r="A466" s="4">
        <v>12</v>
      </c>
      <c r="B466" s="4">
        <v>0</v>
      </c>
      <c r="C466" s="4" t="s">
        <v>44</v>
      </c>
      <c r="D466" s="4" t="s">
        <v>6</v>
      </c>
    </row>
    <row r="467" spans="1:4" x14ac:dyDescent="0.25">
      <c r="A467" s="4">
        <v>12</v>
      </c>
      <c r="B467" s="4">
        <v>0</v>
      </c>
      <c r="C467" s="4" t="s">
        <v>45</v>
      </c>
      <c r="D467" s="4" t="s">
        <v>6</v>
      </c>
    </row>
    <row r="468" spans="1:4" x14ac:dyDescent="0.25">
      <c r="A468" s="4">
        <v>12</v>
      </c>
      <c r="B468" s="4">
        <v>0</v>
      </c>
      <c r="C468" s="4" t="s">
        <v>46</v>
      </c>
      <c r="D468" s="4" t="s">
        <v>6</v>
      </c>
    </row>
    <row r="469" spans="1:4" x14ac:dyDescent="0.25">
      <c r="A469" s="4">
        <v>12</v>
      </c>
      <c r="B469" s="4">
        <v>0</v>
      </c>
      <c r="C469" s="4" t="s">
        <v>47</v>
      </c>
      <c r="D469" s="4" t="s">
        <v>6</v>
      </c>
    </row>
    <row r="470" spans="1:4" x14ac:dyDescent="0.25">
      <c r="A470" s="4">
        <v>12</v>
      </c>
      <c r="B470" s="4">
        <v>0</v>
      </c>
      <c r="C470" s="4" t="s">
        <v>48</v>
      </c>
      <c r="D470" s="4" t="s">
        <v>6</v>
      </c>
    </row>
    <row r="471" spans="1:4" x14ac:dyDescent="0.25">
      <c r="A471" s="4">
        <v>12</v>
      </c>
      <c r="B471" s="4">
        <v>0</v>
      </c>
      <c r="C471" s="4" t="s">
        <v>49</v>
      </c>
      <c r="D471" s="4" t="s">
        <v>6</v>
      </c>
    </row>
    <row r="472" spans="1:4" x14ac:dyDescent="0.25">
      <c r="A472" s="4">
        <v>12</v>
      </c>
      <c r="B472" s="4">
        <v>0</v>
      </c>
      <c r="C472" s="4" t="s">
        <v>40</v>
      </c>
      <c r="D472" s="4" t="s">
        <v>7</v>
      </c>
    </row>
    <row r="473" spans="1:4" x14ac:dyDescent="0.25">
      <c r="A473" s="4">
        <v>12</v>
      </c>
      <c r="B473" s="4">
        <v>0</v>
      </c>
      <c r="C473" s="4" t="s">
        <v>41</v>
      </c>
      <c r="D473" s="4" t="s">
        <v>7</v>
      </c>
    </row>
    <row r="474" spans="1:4" x14ac:dyDescent="0.25">
      <c r="A474" s="4">
        <v>12</v>
      </c>
      <c r="B474" s="4">
        <v>0</v>
      </c>
      <c r="C474" s="4" t="s">
        <v>42</v>
      </c>
      <c r="D474" s="4" t="s">
        <v>7</v>
      </c>
    </row>
    <row r="475" spans="1:4" x14ac:dyDescent="0.25">
      <c r="A475" s="4">
        <v>12</v>
      </c>
      <c r="B475" s="4">
        <v>0</v>
      </c>
      <c r="C475" s="4" t="s">
        <v>43</v>
      </c>
      <c r="D475" s="4" t="s">
        <v>7</v>
      </c>
    </row>
    <row r="476" spans="1:4" x14ac:dyDescent="0.25">
      <c r="A476" s="4">
        <v>12</v>
      </c>
      <c r="B476" s="4">
        <v>0</v>
      </c>
      <c r="C476" s="4" t="s">
        <v>44</v>
      </c>
      <c r="D476" s="4" t="s">
        <v>7</v>
      </c>
    </row>
    <row r="477" spans="1:4" x14ac:dyDescent="0.25">
      <c r="A477" s="4">
        <v>12</v>
      </c>
      <c r="B477" s="4">
        <v>0</v>
      </c>
      <c r="C477" s="4" t="s">
        <v>45</v>
      </c>
      <c r="D477" s="4" t="s">
        <v>7</v>
      </c>
    </row>
    <row r="478" spans="1:4" x14ac:dyDescent="0.25">
      <c r="A478" s="4">
        <v>12</v>
      </c>
      <c r="B478" s="4">
        <v>1</v>
      </c>
      <c r="C478" s="4" t="s">
        <v>46</v>
      </c>
      <c r="D478" s="4" t="s">
        <v>7</v>
      </c>
    </row>
    <row r="479" spans="1:4" x14ac:dyDescent="0.25">
      <c r="A479" s="4">
        <v>12</v>
      </c>
      <c r="B479" s="4">
        <v>0</v>
      </c>
      <c r="C479" s="4" t="s">
        <v>47</v>
      </c>
      <c r="D479" s="4" t="s">
        <v>7</v>
      </c>
    </row>
    <row r="480" spans="1:4" x14ac:dyDescent="0.25">
      <c r="A480" s="4">
        <v>12</v>
      </c>
      <c r="B480" s="4">
        <v>0</v>
      </c>
      <c r="C480" s="4" t="s">
        <v>48</v>
      </c>
      <c r="D480" s="4" t="s">
        <v>7</v>
      </c>
    </row>
    <row r="481" spans="1:4" x14ac:dyDescent="0.25">
      <c r="A481" s="4">
        <v>12</v>
      </c>
      <c r="B481" s="4">
        <v>0</v>
      </c>
      <c r="C481" s="4" t="s">
        <v>49</v>
      </c>
      <c r="D481" s="4" t="s">
        <v>7</v>
      </c>
    </row>
    <row r="482" spans="1:4" x14ac:dyDescent="0.25">
      <c r="A482" s="4">
        <v>13</v>
      </c>
      <c r="B482" s="4">
        <v>0</v>
      </c>
      <c r="C482" s="4" t="s">
        <v>40</v>
      </c>
      <c r="D482" s="4" t="s">
        <v>4</v>
      </c>
    </row>
    <row r="483" spans="1:4" x14ac:dyDescent="0.25">
      <c r="A483" s="4">
        <v>13</v>
      </c>
      <c r="B483" s="4">
        <v>0</v>
      </c>
      <c r="C483" s="4" t="s">
        <v>41</v>
      </c>
      <c r="D483" s="4" t="s">
        <v>4</v>
      </c>
    </row>
    <row r="484" spans="1:4" x14ac:dyDescent="0.25">
      <c r="A484" s="4">
        <v>13</v>
      </c>
      <c r="B484" s="4">
        <v>1</v>
      </c>
      <c r="C484" s="4" t="s">
        <v>42</v>
      </c>
      <c r="D484" s="4" t="s">
        <v>4</v>
      </c>
    </row>
    <row r="485" spans="1:4" x14ac:dyDescent="0.25">
      <c r="A485" s="4">
        <v>13</v>
      </c>
      <c r="B485" s="4">
        <v>0</v>
      </c>
      <c r="C485" s="4" t="s">
        <v>43</v>
      </c>
      <c r="D485" s="4" t="s">
        <v>4</v>
      </c>
    </row>
    <row r="486" spans="1:4" x14ac:dyDescent="0.25">
      <c r="A486" s="4">
        <v>13</v>
      </c>
      <c r="B486" s="4">
        <v>1</v>
      </c>
      <c r="C486" s="4" t="s">
        <v>44</v>
      </c>
      <c r="D486" s="4" t="s">
        <v>4</v>
      </c>
    </row>
    <row r="487" spans="1:4" x14ac:dyDescent="0.25">
      <c r="A487" s="4">
        <v>13</v>
      </c>
      <c r="B487" s="4">
        <v>0</v>
      </c>
      <c r="C487" s="4" t="s">
        <v>45</v>
      </c>
      <c r="D487" s="4" t="s">
        <v>4</v>
      </c>
    </row>
    <row r="488" spans="1:4" x14ac:dyDescent="0.25">
      <c r="A488" s="4">
        <v>13</v>
      </c>
      <c r="B488" s="4">
        <v>0</v>
      </c>
      <c r="C488" s="4" t="s">
        <v>46</v>
      </c>
      <c r="D488" s="4" t="s">
        <v>4</v>
      </c>
    </row>
    <row r="489" spans="1:4" x14ac:dyDescent="0.25">
      <c r="A489" s="4">
        <v>13</v>
      </c>
      <c r="B489" s="4">
        <v>0</v>
      </c>
      <c r="C489" s="4" t="s">
        <v>47</v>
      </c>
      <c r="D489" s="4" t="s">
        <v>4</v>
      </c>
    </row>
    <row r="490" spans="1:4" x14ac:dyDescent="0.25">
      <c r="A490" s="4">
        <v>13</v>
      </c>
      <c r="B490" s="4">
        <v>0</v>
      </c>
      <c r="C490" s="4" t="s">
        <v>48</v>
      </c>
      <c r="D490" s="4" t="s">
        <v>4</v>
      </c>
    </row>
    <row r="491" spans="1:4" x14ac:dyDescent="0.25">
      <c r="A491" s="4">
        <v>13</v>
      </c>
      <c r="B491" s="4">
        <v>0</v>
      </c>
      <c r="C491" s="4" t="s">
        <v>49</v>
      </c>
      <c r="D491" s="4" t="s">
        <v>4</v>
      </c>
    </row>
    <row r="492" spans="1:4" x14ac:dyDescent="0.25">
      <c r="A492" s="4">
        <v>13</v>
      </c>
      <c r="B492" s="4">
        <v>1</v>
      </c>
      <c r="C492" s="4" t="s">
        <v>40</v>
      </c>
      <c r="D492" s="4" t="s">
        <v>5</v>
      </c>
    </row>
    <row r="493" spans="1:4" x14ac:dyDescent="0.25">
      <c r="A493" s="4">
        <v>13</v>
      </c>
      <c r="B493" s="4">
        <v>0</v>
      </c>
      <c r="C493" s="4" t="s">
        <v>41</v>
      </c>
      <c r="D493" s="4" t="s">
        <v>5</v>
      </c>
    </row>
    <row r="494" spans="1:4" x14ac:dyDescent="0.25">
      <c r="A494" s="4">
        <v>13</v>
      </c>
      <c r="B494" s="4">
        <v>0</v>
      </c>
      <c r="C494" s="4" t="s">
        <v>42</v>
      </c>
      <c r="D494" s="4" t="s">
        <v>5</v>
      </c>
    </row>
    <row r="495" spans="1:4" x14ac:dyDescent="0.25">
      <c r="A495" s="4">
        <v>13</v>
      </c>
      <c r="B495" s="4">
        <v>1</v>
      </c>
      <c r="C495" s="4" t="s">
        <v>43</v>
      </c>
      <c r="D495" s="4" t="s">
        <v>5</v>
      </c>
    </row>
    <row r="496" spans="1:4" x14ac:dyDescent="0.25">
      <c r="A496" s="4">
        <v>13</v>
      </c>
      <c r="B496" s="4">
        <v>0</v>
      </c>
      <c r="C496" s="4" t="s">
        <v>44</v>
      </c>
      <c r="D496" s="4" t="s">
        <v>5</v>
      </c>
    </row>
    <row r="497" spans="1:4" x14ac:dyDescent="0.25">
      <c r="A497" s="4">
        <v>13</v>
      </c>
      <c r="B497" s="4">
        <v>1</v>
      </c>
      <c r="C497" s="4" t="s">
        <v>45</v>
      </c>
      <c r="D497" s="4" t="s">
        <v>5</v>
      </c>
    </row>
    <row r="498" spans="1:4" x14ac:dyDescent="0.25">
      <c r="A498" s="4">
        <v>13</v>
      </c>
      <c r="B498" s="4">
        <v>0</v>
      </c>
      <c r="C498" s="4" t="s">
        <v>46</v>
      </c>
      <c r="D498" s="4" t="s">
        <v>5</v>
      </c>
    </row>
    <row r="499" spans="1:4" x14ac:dyDescent="0.25">
      <c r="A499" s="4">
        <v>13</v>
      </c>
      <c r="B499" s="4">
        <v>1</v>
      </c>
      <c r="C499" s="4" t="s">
        <v>47</v>
      </c>
      <c r="D499" s="4" t="s">
        <v>5</v>
      </c>
    </row>
    <row r="500" spans="1:4" x14ac:dyDescent="0.25">
      <c r="A500" s="4">
        <v>13</v>
      </c>
      <c r="B500" s="4">
        <v>0</v>
      </c>
      <c r="C500" s="4" t="s">
        <v>48</v>
      </c>
      <c r="D500" s="4" t="s">
        <v>5</v>
      </c>
    </row>
    <row r="501" spans="1:4" x14ac:dyDescent="0.25">
      <c r="A501" s="4">
        <v>13</v>
      </c>
      <c r="B501" s="4">
        <v>0</v>
      </c>
      <c r="C501" s="4" t="s">
        <v>49</v>
      </c>
      <c r="D501" s="4" t="s">
        <v>5</v>
      </c>
    </row>
    <row r="502" spans="1:4" x14ac:dyDescent="0.25">
      <c r="A502" s="4">
        <v>13</v>
      </c>
      <c r="B502" s="4">
        <v>0</v>
      </c>
      <c r="C502" s="4" t="s">
        <v>40</v>
      </c>
      <c r="D502" s="4" t="s">
        <v>6</v>
      </c>
    </row>
    <row r="503" spans="1:4" x14ac:dyDescent="0.25">
      <c r="A503" s="4">
        <v>13</v>
      </c>
      <c r="B503" s="4">
        <v>1</v>
      </c>
      <c r="C503" s="4" t="s">
        <v>41</v>
      </c>
      <c r="D503" s="4" t="s">
        <v>6</v>
      </c>
    </row>
    <row r="504" spans="1:4" x14ac:dyDescent="0.25">
      <c r="A504" s="4">
        <v>13</v>
      </c>
      <c r="B504" s="4">
        <v>0</v>
      </c>
      <c r="C504" s="4" t="s">
        <v>42</v>
      </c>
      <c r="D504" s="4" t="s">
        <v>6</v>
      </c>
    </row>
    <row r="505" spans="1:4" x14ac:dyDescent="0.25">
      <c r="A505" s="4">
        <v>13</v>
      </c>
      <c r="B505" s="4">
        <v>0</v>
      </c>
      <c r="C505" s="4" t="s">
        <v>43</v>
      </c>
      <c r="D505" s="4" t="s">
        <v>6</v>
      </c>
    </row>
    <row r="506" spans="1:4" x14ac:dyDescent="0.25">
      <c r="A506" s="4">
        <v>13</v>
      </c>
      <c r="B506" s="4">
        <v>0</v>
      </c>
      <c r="C506" s="4" t="s">
        <v>44</v>
      </c>
      <c r="D506" s="4" t="s">
        <v>6</v>
      </c>
    </row>
    <row r="507" spans="1:4" x14ac:dyDescent="0.25">
      <c r="A507" s="4">
        <v>13</v>
      </c>
      <c r="B507" s="4">
        <v>0</v>
      </c>
      <c r="C507" s="4" t="s">
        <v>45</v>
      </c>
      <c r="D507" s="4" t="s">
        <v>6</v>
      </c>
    </row>
    <row r="508" spans="1:4" x14ac:dyDescent="0.25">
      <c r="A508" s="4">
        <v>13</v>
      </c>
      <c r="B508" s="4">
        <v>0</v>
      </c>
      <c r="C508" s="4" t="s">
        <v>46</v>
      </c>
      <c r="D508" s="4" t="s">
        <v>6</v>
      </c>
    </row>
    <row r="509" spans="1:4" x14ac:dyDescent="0.25">
      <c r="A509" s="4">
        <v>13</v>
      </c>
      <c r="B509" s="4">
        <v>0</v>
      </c>
      <c r="C509" s="4" t="s">
        <v>47</v>
      </c>
      <c r="D509" s="4" t="s">
        <v>6</v>
      </c>
    </row>
    <row r="510" spans="1:4" x14ac:dyDescent="0.25">
      <c r="A510" s="4">
        <v>13</v>
      </c>
      <c r="B510" s="4">
        <v>1</v>
      </c>
      <c r="C510" s="4" t="s">
        <v>48</v>
      </c>
      <c r="D510" s="4" t="s">
        <v>6</v>
      </c>
    </row>
    <row r="511" spans="1:4" x14ac:dyDescent="0.25">
      <c r="A511" s="4">
        <v>13</v>
      </c>
      <c r="B511" s="4">
        <v>1</v>
      </c>
      <c r="C511" s="4" t="s">
        <v>49</v>
      </c>
      <c r="D511" s="4" t="s">
        <v>6</v>
      </c>
    </row>
    <row r="512" spans="1:4" x14ac:dyDescent="0.25">
      <c r="A512" s="4">
        <v>13</v>
      </c>
      <c r="B512" s="4">
        <v>0</v>
      </c>
      <c r="C512" s="4" t="s">
        <v>40</v>
      </c>
      <c r="D512" s="4" t="s">
        <v>7</v>
      </c>
    </row>
    <row r="513" spans="1:4" x14ac:dyDescent="0.25">
      <c r="A513" s="4">
        <v>13</v>
      </c>
      <c r="B513" s="4">
        <v>0</v>
      </c>
      <c r="C513" s="4" t="s">
        <v>41</v>
      </c>
      <c r="D513" s="4" t="s">
        <v>7</v>
      </c>
    </row>
    <row r="514" spans="1:4" x14ac:dyDescent="0.25">
      <c r="A514" s="4">
        <v>13</v>
      </c>
      <c r="B514" s="4">
        <v>0</v>
      </c>
      <c r="C514" s="4" t="s">
        <v>42</v>
      </c>
      <c r="D514" s="4" t="s">
        <v>7</v>
      </c>
    </row>
    <row r="515" spans="1:4" x14ac:dyDescent="0.25">
      <c r="A515" s="4">
        <v>13</v>
      </c>
      <c r="B515" s="4">
        <v>0</v>
      </c>
      <c r="C515" s="4" t="s">
        <v>43</v>
      </c>
      <c r="D515" s="4" t="s">
        <v>7</v>
      </c>
    </row>
    <row r="516" spans="1:4" x14ac:dyDescent="0.25">
      <c r="A516" s="4">
        <v>13</v>
      </c>
      <c r="B516" s="4">
        <v>0</v>
      </c>
      <c r="C516" s="4" t="s">
        <v>44</v>
      </c>
      <c r="D516" s="4" t="s">
        <v>7</v>
      </c>
    </row>
    <row r="517" spans="1:4" x14ac:dyDescent="0.25">
      <c r="A517" s="4">
        <v>13</v>
      </c>
      <c r="B517" s="4">
        <v>0</v>
      </c>
      <c r="C517" s="4" t="s">
        <v>45</v>
      </c>
      <c r="D517" s="4" t="s">
        <v>7</v>
      </c>
    </row>
    <row r="518" spans="1:4" x14ac:dyDescent="0.25">
      <c r="A518" s="4">
        <v>13</v>
      </c>
      <c r="B518" s="4">
        <v>1</v>
      </c>
      <c r="C518" s="4" t="s">
        <v>46</v>
      </c>
      <c r="D518" s="4" t="s">
        <v>7</v>
      </c>
    </row>
    <row r="519" spans="1:4" x14ac:dyDescent="0.25">
      <c r="A519" s="4">
        <v>13</v>
      </c>
      <c r="B519" s="4">
        <v>0</v>
      </c>
      <c r="C519" s="4" t="s">
        <v>47</v>
      </c>
      <c r="D519" s="4" t="s">
        <v>7</v>
      </c>
    </row>
    <row r="520" spans="1:4" x14ac:dyDescent="0.25">
      <c r="A520" s="4">
        <v>13</v>
      </c>
      <c r="B520" s="4">
        <v>0</v>
      </c>
      <c r="C520" s="4" t="s">
        <v>48</v>
      </c>
      <c r="D520" s="4" t="s">
        <v>7</v>
      </c>
    </row>
    <row r="521" spans="1:4" x14ac:dyDescent="0.25">
      <c r="A521" s="4">
        <v>13</v>
      </c>
      <c r="B521" s="4">
        <v>0</v>
      </c>
      <c r="C521" s="4" t="s">
        <v>49</v>
      </c>
      <c r="D521" s="4" t="s">
        <v>7</v>
      </c>
    </row>
    <row r="522" spans="1:4" x14ac:dyDescent="0.25">
      <c r="A522" s="4">
        <v>14</v>
      </c>
      <c r="B522" s="4">
        <v>0</v>
      </c>
      <c r="C522" s="4" t="s">
        <v>40</v>
      </c>
      <c r="D522" s="4" t="s">
        <v>4</v>
      </c>
    </row>
    <row r="523" spans="1:4" x14ac:dyDescent="0.25">
      <c r="A523" s="4">
        <v>14</v>
      </c>
      <c r="B523" s="4">
        <v>0</v>
      </c>
      <c r="C523" s="4" t="s">
        <v>41</v>
      </c>
      <c r="D523" s="4" t="s">
        <v>4</v>
      </c>
    </row>
    <row r="524" spans="1:4" x14ac:dyDescent="0.25">
      <c r="A524" s="4">
        <v>14</v>
      </c>
      <c r="B524" s="4">
        <v>1</v>
      </c>
      <c r="C524" s="4" t="s">
        <v>42</v>
      </c>
      <c r="D524" s="4" t="s">
        <v>4</v>
      </c>
    </row>
    <row r="525" spans="1:4" x14ac:dyDescent="0.25">
      <c r="A525" s="4">
        <v>14</v>
      </c>
      <c r="B525" s="4">
        <v>0</v>
      </c>
      <c r="C525" s="4" t="s">
        <v>43</v>
      </c>
      <c r="D525" s="4" t="s">
        <v>4</v>
      </c>
    </row>
    <row r="526" spans="1:4" x14ac:dyDescent="0.25">
      <c r="A526" s="4">
        <v>14</v>
      </c>
      <c r="B526" s="4">
        <v>1</v>
      </c>
      <c r="C526" s="4" t="s">
        <v>44</v>
      </c>
      <c r="D526" s="4" t="s">
        <v>4</v>
      </c>
    </row>
    <row r="527" spans="1:4" x14ac:dyDescent="0.25">
      <c r="A527" s="4">
        <v>14</v>
      </c>
      <c r="B527" s="4">
        <v>0</v>
      </c>
      <c r="C527" s="4" t="s">
        <v>45</v>
      </c>
      <c r="D527" s="4" t="s">
        <v>4</v>
      </c>
    </row>
    <row r="528" spans="1:4" x14ac:dyDescent="0.25">
      <c r="A528" s="4">
        <v>14</v>
      </c>
      <c r="B528" s="4">
        <v>0</v>
      </c>
      <c r="C528" s="4" t="s">
        <v>46</v>
      </c>
      <c r="D528" s="4" t="s">
        <v>4</v>
      </c>
    </row>
    <row r="529" spans="1:4" x14ac:dyDescent="0.25">
      <c r="A529" s="4">
        <v>14</v>
      </c>
      <c r="B529" s="4">
        <v>0</v>
      </c>
      <c r="C529" s="4" t="s">
        <v>47</v>
      </c>
      <c r="D529" s="4" t="s">
        <v>4</v>
      </c>
    </row>
    <row r="530" spans="1:4" x14ac:dyDescent="0.25">
      <c r="A530" s="4">
        <v>14</v>
      </c>
      <c r="B530" s="4">
        <v>0</v>
      </c>
      <c r="C530" s="4" t="s">
        <v>48</v>
      </c>
      <c r="D530" s="4" t="s">
        <v>4</v>
      </c>
    </row>
    <row r="531" spans="1:4" x14ac:dyDescent="0.25">
      <c r="A531" s="4">
        <v>14</v>
      </c>
      <c r="B531" s="4">
        <v>0</v>
      </c>
      <c r="C531" s="4" t="s">
        <v>49</v>
      </c>
      <c r="D531" s="4" t="s">
        <v>4</v>
      </c>
    </row>
    <row r="532" spans="1:4" x14ac:dyDescent="0.25">
      <c r="A532" s="4">
        <v>14</v>
      </c>
      <c r="B532" s="4">
        <v>1</v>
      </c>
      <c r="C532" s="4" t="s">
        <v>40</v>
      </c>
      <c r="D532" s="4" t="s">
        <v>5</v>
      </c>
    </row>
    <row r="533" spans="1:4" x14ac:dyDescent="0.25">
      <c r="A533" s="4">
        <v>14</v>
      </c>
      <c r="B533" s="4">
        <v>0</v>
      </c>
      <c r="C533" s="4" t="s">
        <v>41</v>
      </c>
      <c r="D533" s="4" t="s">
        <v>5</v>
      </c>
    </row>
    <row r="534" spans="1:4" x14ac:dyDescent="0.25">
      <c r="A534" s="4">
        <v>14</v>
      </c>
      <c r="B534" s="4">
        <v>0</v>
      </c>
      <c r="C534" s="4" t="s">
        <v>42</v>
      </c>
      <c r="D534" s="4" t="s">
        <v>5</v>
      </c>
    </row>
    <row r="535" spans="1:4" x14ac:dyDescent="0.25">
      <c r="A535" s="4">
        <v>14</v>
      </c>
      <c r="B535" s="4">
        <v>1</v>
      </c>
      <c r="C535" s="4" t="s">
        <v>43</v>
      </c>
      <c r="D535" s="4" t="s">
        <v>5</v>
      </c>
    </row>
    <row r="536" spans="1:4" x14ac:dyDescent="0.25">
      <c r="A536" s="4">
        <v>14</v>
      </c>
      <c r="B536" s="4">
        <v>0</v>
      </c>
      <c r="C536" s="4" t="s">
        <v>44</v>
      </c>
      <c r="D536" s="4" t="s">
        <v>5</v>
      </c>
    </row>
    <row r="537" spans="1:4" x14ac:dyDescent="0.25">
      <c r="A537" s="4">
        <v>14</v>
      </c>
      <c r="B537" s="4">
        <v>1</v>
      </c>
      <c r="C537" s="4" t="s">
        <v>45</v>
      </c>
      <c r="D537" s="4" t="s">
        <v>5</v>
      </c>
    </row>
    <row r="538" spans="1:4" x14ac:dyDescent="0.25">
      <c r="A538" s="4">
        <v>14</v>
      </c>
      <c r="B538" s="4">
        <v>0</v>
      </c>
      <c r="C538" s="4" t="s">
        <v>46</v>
      </c>
      <c r="D538" s="4" t="s">
        <v>5</v>
      </c>
    </row>
    <row r="539" spans="1:4" x14ac:dyDescent="0.25">
      <c r="A539" s="4">
        <v>14</v>
      </c>
      <c r="B539" s="4">
        <v>0</v>
      </c>
      <c r="C539" s="4" t="s">
        <v>47</v>
      </c>
      <c r="D539" s="4" t="s">
        <v>5</v>
      </c>
    </row>
    <row r="540" spans="1:4" x14ac:dyDescent="0.25">
      <c r="A540" s="4">
        <v>14</v>
      </c>
      <c r="B540" s="4">
        <v>0</v>
      </c>
      <c r="C540" s="4" t="s">
        <v>48</v>
      </c>
      <c r="D540" s="4" t="s">
        <v>5</v>
      </c>
    </row>
    <row r="541" spans="1:4" x14ac:dyDescent="0.25">
      <c r="A541" s="4">
        <v>14</v>
      </c>
      <c r="B541" s="4">
        <v>0</v>
      </c>
      <c r="C541" s="4" t="s">
        <v>49</v>
      </c>
      <c r="D541" s="4" t="s">
        <v>5</v>
      </c>
    </row>
    <row r="542" spans="1:4" x14ac:dyDescent="0.25">
      <c r="A542" s="4">
        <v>14</v>
      </c>
      <c r="B542" s="4">
        <v>0</v>
      </c>
      <c r="C542" s="4" t="s">
        <v>40</v>
      </c>
      <c r="D542" s="4" t="s">
        <v>6</v>
      </c>
    </row>
    <row r="543" spans="1:4" x14ac:dyDescent="0.25">
      <c r="A543" s="4">
        <v>14</v>
      </c>
      <c r="B543" s="4">
        <v>1</v>
      </c>
      <c r="C543" s="4" t="s">
        <v>41</v>
      </c>
      <c r="D543" s="4" t="s">
        <v>6</v>
      </c>
    </row>
    <row r="544" spans="1:4" x14ac:dyDescent="0.25">
      <c r="A544" s="4">
        <v>14</v>
      </c>
      <c r="B544" s="4">
        <v>0</v>
      </c>
      <c r="C544" s="4" t="s">
        <v>42</v>
      </c>
      <c r="D544" s="4" t="s">
        <v>6</v>
      </c>
    </row>
    <row r="545" spans="1:4" x14ac:dyDescent="0.25">
      <c r="A545" s="4">
        <v>14</v>
      </c>
      <c r="B545" s="4">
        <v>0</v>
      </c>
      <c r="C545" s="4" t="s">
        <v>43</v>
      </c>
      <c r="D545" s="4" t="s">
        <v>6</v>
      </c>
    </row>
    <row r="546" spans="1:4" x14ac:dyDescent="0.25">
      <c r="A546" s="4">
        <v>14</v>
      </c>
      <c r="B546" s="4">
        <v>0</v>
      </c>
      <c r="C546" s="4" t="s">
        <v>44</v>
      </c>
      <c r="D546" s="4" t="s">
        <v>6</v>
      </c>
    </row>
    <row r="547" spans="1:4" x14ac:dyDescent="0.25">
      <c r="A547" s="4">
        <v>14</v>
      </c>
      <c r="B547" s="4">
        <v>0</v>
      </c>
      <c r="C547" s="4" t="s">
        <v>45</v>
      </c>
      <c r="D547" s="4" t="s">
        <v>6</v>
      </c>
    </row>
    <row r="548" spans="1:4" x14ac:dyDescent="0.25">
      <c r="A548" s="4">
        <v>14</v>
      </c>
      <c r="B548" s="4">
        <v>0</v>
      </c>
      <c r="C548" s="4" t="s">
        <v>46</v>
      </c>
      <c r="D548" s="4" t="s">
        <v>6</v>
      </c>
    </row>
    <row r="549" spans="1:4" x14ac:dyDescent="0.25">
      <c r="A549" s="4">
        <v>14</v>
      </c>
      <c r="B549" s="4">
        <v>1</v>
      </c>
      <c r="C549" s="4" t="s">
        <v>47</v>
      </c>
      <c r="D549" s="4" t="s">
        <v>6</v>
      </c>
    </row>
    <row r="550" spans="1:4" x14ac:dyDescent="0.25">
      <c r="A550" s="4">
        <v>14</v>
      </c>
      <c r="B550" s="4">
        <v>0</v>
      </c>
      <c r="C550" s="4" t="s">
        <v>48</v>
      </c>
      <c r="D550" s="4" t="s">
        <v>6</v>
      </c>
    </row>
    <row r="551" spans="1:4" x14ac:dyDescent="0.25">
      <c r="A551" s="4">
        <v>14</v>
      </c>
      <c r="B551" s="4">
        <v>1</v>
      </c>
      <c r="C551" s="4" t="s">
        <v>49</v>
      </c>
      <c r="D551" s="4" t="s">
        <v>6</v>
      </c>
    </row>
    <row r="552" spans="1:4" x14ac:dyDescent="0.25">
      <c r="A552" s="4">
        <v>14</v>
      </c>
      <c r="B552" s="4">
        <v>0</v>
      </c>
      <c r="C552" s="4" t="s">
        <v>40</v>
      </c>
      <c r="D552" s="4" t="s">
        <v>7</v>
      </c>
    </row>
    <row r="553" spans="1:4" x14ac:dyDescent="0.25">
      <c r="A553" s="4">
        <v>14</v>
      </c>
      <c r="B553" s="4">
        <v>0</v>
      </c>
      <c r="C553" s="4" t="s">
        <v>41</v>
      </c>
      <c r="D553" s="4" t="s">
        <v>7</v>
      </c>
    </row>
    <row r="554" spans="1:4" x14ac:dyDescent="0.25">
      <c r="A554" s="4">
        <v>14</v>
      </c>
      <c r="B554" s="4">
        <v>0</v>
      </c>
      <c r="C554" s="4" t="s">
        <v>42</v>
      </c>
      <c r="D554" s="4" t="s">
        <v>7</v>
      </c>
    </row>
    <row r="555" spans="1:4" x14ac:dyDescent="0.25">
      <c r="A555" s="4">
        <v>14</v>
      </c>
      <c r="B555" s="4">
        <v>0</v>
      </c>
      <c r="C555" s="4" t="s">
        <v>43</v>
      </c>
      <c r="D555" s="4" t="s">
        <v>7</v>
      </c>
    </row>
    <row r="556" spans="1:4" x14ac:dyDescent="0.25">
      <c r="A556" s="4">
        <v>14</v>
      </c>
      <c r="B556" s="4">
        <v>0</v>
      </c>
      <c r="C556" s="4" t="s">
        <v>44</v>
      </c>
      <c r="D556" s="4" t="s">
        <v>7</v>
      </c>
    </row>
    <row r="557" spans="1:4" x14ac:dyDescent="0.25">
      <c r="A557" s="4">
        <v>14</v>
      </c>
      <c r="B557" s="4">
        <v>0</v>
      </c>
      <c r="C557" s="4" t="s">
        <v>45</v>
      </c>
      <c r="D557" s="4" t="s">
        <v>7</v>
      </c>
    </row>
    <row r="558" spans="1:4" x14ac:dyDescent="0.25">
      <c r="A558" s="4">
        <v>14</v>
      </c>
      <c r="B558" s="4">
        <v>1</v>
      </c>
      <c r="C558" s="4" t="s">
        <v>46</v>
      </c>
      <c r="D558" s="4" t="s">
        <v>7</v>
      </c>
    </row>
    <row r="559" spans="1:4" x14ac:dyDescent="0.25">
      <c r="A559" s="4">
        <v>14</v>
      </c>
      <c r="B559" s="4">
        <v>0</v>
      </c>
      <c r="C559" s="4" t="s">
        <v>47</v>
      </c>
      <c r="D559" s="4" t="s">
        <v>7</v>
      </c>
    </row>
    <row r="560" spans="1:4" x14ac:dyDescent="0.25">
      <c r="A560" s="4">
        <v>14</v>
      </c>
      <c r="B560" s="4">
        <v>1</v>
      </c>
      <c r="C560" s="4" t="s">
        <v>48</v>
      </c>
      <c r="D560" s="4" t="s">
        <v>7</v>
      </c>
    </row>
    <row r="561" spans="1:4" x14ac:dyDescent="0.25">
      <c r="A561" s="4">
        <v>14</v>
      </c>
      <c r="B561" s="4">
        <v>0</v>
      </c>
      <c r="C561" s="4" t="s">
        <v>49</v>
      </c>
      <c r="D561" s="4" t="s">
        <v>7</v>
      </c>
    </row>
    <row r="562" spans="1:4" x14ac:dyDescent="0.25">
      <c r="A562" s="4">
        <v>15</v>
      </c>
      <c r="B562" s="4">
        <v>0</v>
      </c>
      <c r="C562" s="4" t="s">
        <v>40</v>
      </c>
      <c r="D562" s="4" t="s">
        <v>4</v>
      </c>
    </row>
    <row r="563" spans="1:4" x14ac:dyDescent="0.25">
      <c r="A563" s="4">
        <v>15</v>
      </c>
      <c r="B563" s="4">
        <v>0</v>
      </c>
      <c r="C563" s="4" t="s">
        <v>41</v>
      </c>
      <c r="D563" s="4" t="s">
        <v>4</v>
      </c>
    </row>
    <row r="564" spans="1:4" x14ac:dyDescent="0.25">
      <c r="A564" s="4">
        <v>15</v>
      </c>
      <c r="B564" s="4">
        <v>1</v>
      </c>
      <c r="C564" s="4" t="s">
        <v>42</v>
      </c>
      <c r="D564" s="4" t="s">
        <v>4</v>
      </c>
    </row>
    <row r="565" spans="1:4" x14ac:dyDescent="0.25">
      <c r="A565" s="4">
        <v>15</v>
      </c>
      <c r="B565" s="4">
        <v>0</v>
      </c>
      <c r="C565" s="4" t="s">
        <v>43</v>
      </c>
      <c r="D565" s="4" t="s">
        <v>4</v>
      </c>
    </row>
    <row r="566" spans="1:4" x14ac:dyDescent="0.25">
      <c r="A566" s="4">
        <v>15</v>
      </c>
      <c r="B566" s="4">
        <v>1</v>
      </c>
      <c r="C566" s="4" t="s">
        <v>44</v>
      </c>
      <c r="D566" s="4" t="s">
        <v>4</v>
      </c>
    </row>
    <row r="567" spans="1:4" x14ac:dyDescent="0.25">
      <c r="A567" s="4">
        <v>15</v>
      </c>
      <c r="B567" s="4">
        <v>0</v>
      </c>
      <c r="C567" s="4" t="s">
        <v>45</v>
      </c>
      <c r="D567" s="4" t="s">
        <v>4</v>
      </c>
    </row>
    <row r="568" spans="1:4" x14ac:dyDescent="0.25">
      <c r="A568" s="4">
        <v>15</v>
      </c>
      <c r="B568" s="4">
        <v>0</v>
      </c>
      <c r="C568" s="4" t="s">
        <v>46</v>
      </c>
      <c r="D568" s="4" t="s">
        <v>4</v>
      </c>
    </row>
    <row r="569" spans="1:4" x14ac:dyDescent="0.25">
      <c r="A569" s="4">
        <v>15</v>
      </c>
      <c r="B569" s="4">
        <v>0</v>
      </c>
      <c r="C569" s="4" t="s">
        <v>47</v>
      </c>
      <c r="D569" s="4" t="s">
        <v>4</v>
      </c>
    </row>
    <row r="570" spans="1:4" x14ac:dyDescent="0.25">
      <c r="A570" s="4">
        <v>15</v>
      </c>
      <c r="B570" s="4">
        <v>0</v>
      </c>
      <c r="C570" s="4" t="s">
        <v>48</v>
      </c>
      <c r="D570" s="4" t="s">
        <v>4</v>
      </c>
    </row>
    <row r="571" spans="1:4" x14ac:dyDescent="0.25">
      <c r="A571" s="4">
        <v>15</v>
      </c>
      <c r="B571" s="4">
        <v>0</v>
      </c>
      <c r="C571" s="4" t="s">
        <v>49</v>
      </c>
      <c r="D571" s="4" t="s">
        <v>4</v>
      </c>
    </row>
    <row r="572" spans="1:4" x14ac:dyDescent="0.25">
      <c r="A572" s="4">
        <v>15</v>
      </c>
      <c r="B572" s="4">
        <v>1</v>
      </c>
      <c r="C572" s="4" t="s">
        <v>40</v>
      </c>
      <c r="D572" s="4" t="s">
        <v>5</v>
      </c>
    </row>
    <row r="573" spans="1:4" x14ac:dyDescent="0.25">
      <c r="A573" s="4">
        <v>15</v>
      </c>
      <c r="B573" s="4">
        <v>0</v>
      </c>
      <c r="C573" s="4" t="s">
        <v>41</v>
      </c>
      <c r="D573" s="4" t="s">
        <v>5</v>
      </c>
    </row>
    <row r="574" spans="1:4" x14ac:dyDescent="0.25">
      <c r="A574" s="4">
        <v>15</v>
      </c>
      <c r="B574" s="4">
        <v>0</v>
      </c>
      <c r="C574" s="4" t="s">
        <v>42</v>
      </c>
      <c r="D574" s="4" t="s">
        <v>5</v>
      </c>
    </row>
    <row r="575" spans="1:4" x14ac:dyDescent="0.25">
      <c r="A575" s="4">
        <v>15</v>
      </c>
      <c r="B575" s="4">
        <v>1</v>
      </c>
      <c r="C575" s="4" t="s">
        <v>43</v>
      </c>
      <c r="D575" s="4" t="s">
        <v>5</v>
      </c>
    </row>
    <row r="576" spans="1:4" x14ac:dyDescent="0.25">
      <c r="A576" s="4">
        <v>15</v>
      </c>
      <c r="B576" s="4">
        <v>0</v>
      </c>
      <c r="C576" s="4" t="s">
        <v>44</v>
      </c>
      <c r="D576" s="4" t="s">
        <v>5</v>
      </c>
    </row>
    <row r="577" spans="1:4" x14ac:dyDescent="0.25">
      <c r="A577" s="4">
        <v>15</v>
      </c>
      <c r="B577" s="4">
        <v>1</v>
      </c>
      <c r="C577" s="4" t="s">
        <v>45</v>
      </c>
      <c r="D577" s="4" t="s">
        <v>5</v>
      </c>
    </row>
    <row r="578" spans="1:4" x14ac:dyDescent="0.25">
      <c r="A578" s="4">
        <v>15</v>
      </c>
      <c r="B578" s="4">
        <v>0</v>
      </c>
      <c r="C578" s="4" t="s">
        <v>46</v>
      </c>
      <c r="D578" s="4" t="s">
        <v>5</v>
      </c>
    </row>
    <row r="579" spans="1:4" x14ac:dyDescent="0.25">
      <c r="A579" s="4">
        <v>15</v>
      </c>
      <c r="B579" s="4">
        <v>0</v>
      </c>
      <c r="C579" s="4" t="s">
        <v>47</v>
      </c>
      <c r="D579" s="4" t="s">
        <v>5</v>
      </c>
    </row>
    <row r="580" spans="1:4" x14ac:dyDescent="0.25">
      <c r="A580" s="4">
        <v>15</v>
      </c>
      <c r="B580" s="4">
        <v>1</v>
      </c>
      <c r="C580" s="4" t="s">
        <v>48</v>
      </c>
      <c r="D580" s="4" t="s">
        <v>5</v>
      </c>
    </row>
    <row r="581" spans="1:4" x14ac:dyDescent="0.25">
      <c r="A581" s="4">
        <v>15</v>
      </c>
      <c r="B581" s="4">
        <v>0</v>
      </c>
      <c r="C581" s="4" t="s">
        <v>49</v>
      </c>
      <c r="D581" s="4" t="s">
        <v>5</v>
      </c>
    </row>
    <row r="582" spans="1:4" x14ac:dyDescent="0.25">
      <c r="A582" s="4">
        <v>15</v>
      </c>
      <c r="B582" s="4">
        <v>0</v>
      </c>
      <c r="C582" s="4" t="s">
        <v>40</v>
      </c>
      <c r="D582" s="4" t="s">
        <v>6</v>
      </c>
    </row>
    <row r="583" spans="1:4" x14ac:dyDescent="0.25">
      <c r="A583" s="4">
        <v>15</v>
      </c>
      <c r="B583" s="4">
        <v>1</v>
      </c>
      <c r="C583" s="4" t="s">
        <v>41</v>
      </c>
      <c r="D583" s="4" t="s">
        <v>6</v>
      </c>
    </row>
    <row r="584" spans="1:4" x14ac:dyDescent="0.25">
      <c r="A584" s="4">
        <v>15</v>
      </c>
      <c r="B584" s="4">
        <v>0</v>
      </c>
      <c r="C584" s="4" t="s">
        <v>42</v>
      </c>
      <c r="D584" s="4" t="s">
        <v>6</v>
      </c>
    </row>
    <row r="585" spans="1:4" x14ac:dyDescent="0.25">
      <c r="A585" s="4">
        <v>15</v>
      </c>
      <c r="B585" s="4">
        <v>0</v>
      </c>
      <c r="C585" s="4" t="s">
        <v>43</v>
      </c>
      <c r="D585" s="4" t="s">
        <v>6</v>
      </c>
    </row>
    <row r="586" spans="1:4" x14ac:dyDescent="0.25">
      <c r="A586" s="4">
        <v>15</v>
      </c>
      <c r="B586" s="4">
        <v>0</v>
      </c>
      <c r="C586" s="4" t="s">
        <v>44</v>
      </c>
      <c r="D586" s="4" t="s">
        <v>6</v>
      </c>
    </row>
    <row r="587" spans="1:4" x14ac:dyDescent="0.25">
      <c r="A587" s="4">
        <v>15</v>
      </c>
      <c r="B587" s="4">
        <v>0</v>
      </c>
      <c r="C587" s="4" t="s">
        <v>45</v>
      </c>
      <c r="D587" s="4" t="s">
        <v>6</v>
      </c>
    </row>
    <row r="588" spans="1:4" x14ac:dyDescent="0.25">
      <c r="A588" s="4">
        <v>15</v>
      </c>
      <c r="B588" s="4">
        <v>0</v>
      </c>
      <c r="C588" s="4" t="s">
        <v>46</v>
      </c>
      <c r="D588" s="4" t="s">
        <v>6</v>
      </c>
    </row>
    <row r="589" spans="1:4" x14ac:dyDescent="0.25">
      <c r="A589" s="4">
        <v>15</v>
      </c>
      <c r="B589" s="4">
        <v>1</v>
      </c>
      <c r="C589" s="4" t="s">
        <v>47</v>
      </c>
      <c r="D589" s="4" t="s">
        <v>6</v>
      </c>
    </row>
    <row r="590" spans="1:4" x14ac:dyDescent="0.25">
      <c r="A590" s="4">
        <v>15</v>
      </c>
      <c r="B590" s="4">
        <v>0</v>
      </c>
      <c r="C590" s="4" t="s">
        <v>48</v>
      </c>
      <c r="D590" s="4" t="s">
        <v>6</v>
      </c>
    </row>
    <row r="591" spans="1:4" x14ac:dyDescent="0.25">
      <c r="A591" s="4">
        <v>15</v>
      </c>
      <c r="B591" s="4">
        <v>1</v>
      </c>
      <c r="C591" s="4" t="s">
        <v>49</v>
      </c>
      <c r="D591" s="4" t="s">
        <v>6</v>
      </c>
    </row>
    <row r="592" spans="1:4" x14ac:dyDescent="0.25">
      <c r="A592" s="4">
        <v>15</v>
      </c>
      <c r="B592" s="4">
        <v>0</v>
      </c>
      <c r="C592" s="4" t="s">
        <v>40</v>
      </c>
      <c r="D592" s="4" t="s">
        <v>7</v>
      </c>
    </row>
    <row r="593" spans="1:4" x14ac:dyDescent="0.25">
      <c r="A593" s="4">
        <v>15</v>
      </c>
      <c r="B593" s="4">
        <v>0</v>
      </c>
      <c r="C593" s="4" t="s">
        <v>41</v>
      </c>
      <c r="D593" s="4" t="s">
        <v>7</v>
      </c>
    </row>
    <row r="594" spans="1:4" x14ac:dyDescent="0.25">
      <c r="A594" s="4">
        <v>15</v>
      </c>
      <c r="B594" s="4">
        <v>0</v>
      </c>
      <c r="C594" s="4" t="s">
        <v>42</v>
      </c>
      <c r="D594" s="4" t="s">
        <v>7</v>
      </c>
    </row>
    <row r="595" spans="1:4" x14ac:dyDescent="0.25">
      <c r="A595" s="4">
        <v>15</v>
      </c>
      <c r="B595" s="4">
        <v>0</v>
      </c>
      <c r="C595" s="4" t="s">
        <v>43</v>
      </c>
      <c r="D595" s="4" t="s">
        <v>7</v>
      </c>
    </row>
    <row r="596" spans="1:4" x14ac:dyDescent="0.25">
      <c r="A596" s="4">
        <v>15</v>
      </c>
      <c r="B596" s="4">
        <v>0</v>
      </c>
      <c r="C596" s="4" t="s">
        <v>44</v>
      </c>
      <c r="D596" s="4" t="s">
        <v>7</v>
      </c>
    </row>
    <row r="597" spans="1:4" x14ac:dyDescent="0.25">
      <c r="A597" s="4">
        <v>15</v>
      </c>
      <c r="B597" s="4">
        <v>0</v>
      </c>
      <c r="C597" s="4" t="s">
        <v>45</v>
      </c>
      <c r="D597" s="4" t="s">
        <v>7</v>
      </c>
    </row>
    <row r="598" spans="1:4" x14ac:dyDescent="0.25">
      <c r="A598" s="4">
        <v>15</v>
      </c>
      <c r="B598" s="4">
        <v>1</v>
      </c>
      <c r="C598" s="4" t="s">
        <v>46</v>
      </c>
      <c r="D598" s="4" t="s">
        <v>7</v>
      </c>
    </row>
    <row r="599" spans="1:4" x14ac:dyDescent="0.25">
      <c r="A599" s="4">
        <v>15</v>
      </c>
      <c r="B599" s="4">
        <v>0</v>
      </c>
      <c r="C599" s="4" t="s">
        <v>47</v>
      </c>
      <c r="D599" s="4" t="s">
        <v>7</v>
      </c>
    </row>
    <row r="600" spans="1:4" x14ac:dyDescent="0.25">
      <c r="A600" s="4">
        <v>15</v>
      </c>
      <c r="B600" s="4">
        <v>0</v>
      </c>
      <c r="C600" s="4" t="s">
        <v>48</v>
      </c>
      <c r="D600" s="4" t="s">
        <v>7</v>
      </c>
    </row>
    <row r="601" spans="1:4" x14ac:dyDescent="0.25">
      <c r="A601" s="4">
        <v>15</v>
      </c>
      <c r="B601" s="4">
        <v>0</v>
      </c>
      <c r="C601" s="4" t="s">
        <v>49</v>
      </c>
      <c r="D601" s="4" t="s">
        <v>7</v>
      </c>
    </row>
    <row r="602" spans="1:4" x14ac:dyDescent="0.25">
      <c r="A602" s="4">
        <v>16</v>
      </c>
      <c r="B602" s="4">
        <v>0</v>
      </c>
      <c r="C602" s="4" t="s">
        <v>40</v>
      </c>
      <c r="D602" s="4" t="s">
        <v>4</v>
      </c>
    </row>
    <row r="603" spans="1:4" x14ac:dyDescent="0.25">
      <c r="A603" s="4">
        <v>16</v>
      </c>
      <c r="B603" s="4">
        <v>0</v>
      </c>
      <c r="C603" s="4" t="s">
        <v>41</v>
      </c>
      <c r="D603" s="4" t="s">
        <v>4</v>
      </c>
    </row>
    <row r="604" spans="1:4" x14ac:dyDescent="0.25">
      <c r="A604" s="4">
        <v>16</v>
      </c>
      <c r="B604" s="4">
        <v>0</v>
      </c>
      <c r="C604" s="4" t="s">
        <v>42</v>
      </c>
      <c r="D604" s="4" t="s">
        <v>4</v>
      </c>
    </row>
    <row r="605" spans="1:4" x14ac:dyDescent="0.25">
      <c r="A605" s="4">
        <v>16</v>
      </c>
      <c r="B605" s="4">
        <v>0</v>
      </c>
      <c r="C605" s="4" t="s">
        <v>43</v>
      </c>
      <c r="D605" s="4" t="s">
        <v>4</v>
      </c>
    </row>
    <row r="606" spans="1:4" x14ac:dyDescent="0.25">
      <c r="A606" s="4">
        <v>16</v>
      </c>
      <c r="B606" s="4">
        <v>0</v>
      </c>
      <c r="C606" s="4" t="s">
        <v>44</v>
      </c>
      <c r="D606" s="4" t="s">
        <v>4</v>
      </c>
    </row>
    <row r="607" spans="1:4" x14ac:dyDescent="0.25">
      <c r="A607" s="4">
        <v>16</v>
      </c>
      <c r="B607" s="4">
        <v>1</v>
      </c>
      <c r="C607" s="4" t="s">
        <v>45</v>
      </c>
      <c r="D607" s="4" t="s">
        <v>4</v>
      </c>
    </row>
    <row r="608" spans="1:4" x14ac:dyDescent="0.25">
      <c r="A608" s="4">
        <v>16</v>
      </c>
      <c r="B608" s="4">
        <v>0</v>
      </c>
      <c r="C608" s="4" t="s">
        <v>46</v>
      </c>
      <c r="D608" s="4" t="s">
        <v>4</v>
      </c>
    </row>
    <row r="609" spans="1:4" x14ac:dyDescent="0.25">
      <c r="A609" s="4">
        <v>16</v>
      </c>
      <c r="B609" s="4">
        <v>0</v>
      </c>
      <c r="C609" s="4" t="s">
        <v>47</v>
      </c>
      <c r="D609" s="4" t="s">
        <v>4</v>
      </c>
    </row>
    <row r="610" spans="1:4" x14ac:dyDescent="0.25">
      <c r="A610" s="4">
        <v>16</v>
      </c>
      <c r="B610" s="4">
        <v>1</v>
      </c>
      <c r="C610" s="4" t="s">
        <v>48</v>
      </c>
      <c r="D610" s="4" t="s">
        <v>4</v>
      </c>
    </row>
    <row r="611" spans="1:4" x14ac:dyDescent="0.25">
      <c r="A611" s="4">
        <v>16</v>
      </c>
      <c r="B611" s="4">
        <v>0</v>
      </c>
      <c r="C611" s="4" t="s">
        <v>49</v>
      </c>
      <c r="D611" s="4" t="s">
        <v>4</v>
      </c>
    </row>
    <row r="612" spans="1:4" x14ac:dyDescent="0.25">
      <c r="A612" s="4">
        <v>16</v>
      </c>
      <c r="B612" s="4">
        <v>1</v>
      </c>
      <c r="C612" s="4" t="s">
        <v>40</v>
      </c>
      <c r="D612" s="4" t="s">
        <v>5</v>
      </c>
    </row>
    <row r="613" spans="1:4" x14ac:dyDescent="0.25">
      <c r="A613" s="4">
        <v>16</v>
      </c>
      <c r="B613" s="4">
        <v>0</v>
      </c>
      <c r="C613" s="4" t="s">
        <v>41</v>
      </c>
      <c r="D613" s="4" t="s">
        <v>5</v>
      </c>
    </row>
    <row r="614" spans="1:4" x14ac:dyDescent="0.25">
      <c r="A614" s="4">
        <v>16</v>
      </c>
      <c r="B614" s="4">
        <v>1</v>
      </c>
      <c r="C614" s="4" t="s">
        <v>42</v>
      </c>
      <c r="D614" s="4" t="s">
        <v>5</v>
      </c>
    </row>
    <row r="615" spans="1:4" x14ac:dyDescent="0.25">
      <c r="A615" s="4">
        <v>16</v>
      </c>
      <c r="B615" s="4">
        <v>0</v>
      </c>
      <c r="C615" s="4" t="s">
        <v>43</v>
      </c>
      <c r="D615" s="4" t="s">
        <v>5</v>
      </c>
    </row>
    <row r="616" spans="1:4" x14ac:dyDescent="0.25">
      <c r="A616" s="4">
        <v>16</v>
      </c>
      <c r="B616" s="4">
        <v>1</v>
      </c>
      <c r="C616" s="4" t="s">
        <v>44</v>
      </c>
      <c r="D616" s="4" t="s">
        <v>5</v>
      </c>
    </row>
    <row r="617" spans="1:4" x14ac:dyDescent="0.25">
      <c r="A617" s="4">
        <v>16</v>
      </c>
      <c r="B617" s="4">
        <v>0</v>
      </c>
      <c r="C617" s="4" t="s">
        <v>45</v>
      </c>
      <c r="D617" s="4" t="s">
        <v>5</v>
      </c>
    </row>
    <row r="618" spans="1:4" x14ac:dyDescent="0.25">
      <c r="A618" s="4">
        <v>16</v>
      </c>
      <c r="B618" s="4">
        <v>0</v>
      </c>
      <c r="C618" s="4" t="s">
        <v>46</v>
      </c>
      <c r="D618" s="4" t="s">
        <v>5</v>
      </c>
    </row>
    <row r="619" spans="1:4" x14ac:dyDescent="0.25">
      <c r="A619" s="4">
        <v>16</v>
      </c>
      <c r="B619" s="4">
        <v>1</v>
      </c>
      <c r="C619" s="4" t="s">
        <v>47</v>
      </c>
      <c r="D619" s="4" t="s">
        <v>5</v>
      </c>
    </row>
    <row r="620" spans="1:4" x14ac:dyDescent="0.25">
      <c r="A620" s="4">
        <v>16</v>
      </c>
      <c r="B620" s="4">
        <v>0</v>
      </c>
      <c r="C620" s="4" t="s">
        <v>48</v>
      </c>
      <c r="D620" s="4" t="s">
        <v>5</v>
      </c>
    </row>
    <row r="621" spans="1:4" x14ac:dyDescent="0.25">
      <c r="A621" s="4">
        <v>16</v>
      </c>
      <c r="B621" s="4">
        <v>0</v>
      </c>
      <c r="C621" s="4" t="s">
        <v>49</v>
      </c>
      <c r="D621" s="4" t="s">
        <v>5</v>
      </c>
    </row>
    <row r="622" spans="1:4" x14ac:dyDescent="0.25">
      <c r="A622" s="4">
        <v>16</v>
      </c>
      <c r="B622" s="4">
        <v>0</v>
      </c>
      <c r="C622" s="4" t="s">
        <v>40</v>
      </c>
      <c r="D622" s="4" t="s">
        <v>6</v>
      </c>
    </row>
    <row r="623" spans="1:4" x14ac:dyDescent="0.25">
      <c r="A623" s="4">
        <v>16</v>
      </c>
      <c r="B623" s="4">
        <v>0</v>
      </c>
      <c r="C623" s="4" t="s">
        <v>41</v>
      </c>
      <c r="D623" s="4" t="s">
        <v>6</v>
      </c>
    </row>
    <row r="624" spans="1:4" x14ac:dyDescent="0.25">
      <c r="A624" s="4">
        <v>16</v>
      </c>
      <c r="B624" s="4">
        <v>0</v>
      </c>
      <c r="C624" s="4" t="s">
        <v>42</v>
      </c>
      <c r="D624" s="4" t="s">
        <v>6</v>
      </c>
    </row>
    <row r="625" spans="1:4" x14ac:dyDescent="0.25">
      <c r="A625" s="4">
        <v>16</v>
      </c>
      <c r="B625" s="4">
        <v>1</v>
      </c>
      <c r="C625" s="4" t="s">
        <v>43</v>
      </c>
      <c r="D625" s="4" t="s">
        <v>6</v>
      </c>
    </row>
    <row r="626" spans="1:4" x14ac:dyDescent="0.25">
      <c r="A626" s="4">
        <v>16</v>
      </c>
      <c r="B626" s="4">
        <v>0</v>
      </c>
      <c r="C626" s="4" t="s">
        <v>44</v>
      </c>
      <c r="D626" s="4" t="s">
        <v>6</v>
      </c>
    </row>
    <row r="627" spans="1:4" x14ac:dyDescent="0.25">
      <c r="A627" s="4">
        <v>16</v>
      </c>
      <c r="B627" s="4">
        <v>0</v>
      </c>
      <c r="C627" s="4" t="s">
        <v>45</v>
      </c>
      <c r="D627" s="4" t="s">
        <v>6</v>
      </c>
    </row>
    <row r="628" spans="1:4" x14ac:dyDescent="0.25">
      <c r="A628" s="4">
        <v>16</v>
      </c>
      <c r="B628" s="4">
        <v>1</v>
      </c>
      <c r="C628" s="4" t="s">
        <v>46</v>
      </c>
      <c r="D628" s="4" t="s">
        <v>6</v>
      </c>
    </row>
    <row r="629" spans="1:4" x14ac:dyDescent="0.25">
      <c r="A629" s="4">
        <v>16</v>
      </c>
      <c r="B629" s="4">
        <v>0</v>
      </c>
      <c r="C629" s="4" t="s">
        <v>47</v>
      </c>
      <c r="D629" s="4" t="s">
        <v>6</v>
      </c>
    </row>
    <row r="630" spans="1:4" x14ac:dyDescent="0.25">
      <c r="A630" s="4">
        <v>16</v>
      </c>
      <c r="B630" s="4">
        <v>0</v>
      </c>
      <c r="C630" s="4" t="s">
        <v>48</v>
      </c>
      <c r="D630" s="4" t="s">
        <v>6</v>
      </c>
    </row>
    <row r="631" spans="1:4" x14ac:dyDescent="0.25">
      <c r="A631" s="4">
        <v>16</v>
      </c>
      <c r="B631" s="4">
        <v>1</v>
      </c>
      <c r="C631" s="4" t="s">
        <v>49</v>
      </c>
      <c r="D631" s="4" t="s">
        <v>6</v>
      </c>
    </row>
    <row r="632" spans="1:4" x14ac:dyDescent="0.25">
      <c r="A632" s="4">
        <v>16</v>
      </c>
      <c r="B632" s="4">
        <v>0</v>
      </c>
      <c r="C632" s="4" t="s">
        <v>40</v>
      </c>
      <c r="D632" s="4" t="s">
        <v>7</v>
      </c>
    </row>
    <row r="633" spans="1:4" x14ac:dyDescent="0.25">
      <c r="A633" s="4">
        <v>16</v>
      </c>
      <c r="B633" s="4">
        <v>1</v>
      </c>
      <c r="C633" s="4" t="s">
        <v>41</v>
      </c>
      <c r="D633" s="4" t="s">
        <v>7</v>
      </c>
    </row>
    <row r="634" spans="1:4" x14ac:dyDescent="0.25">
      <c r="A634" s="4">
        <v>16</v>
      </c>
      <c r="B634" s="4">
        <v>0</v>
      </c>
      <c r="C634" s="4" t="s">
        <v>42</v>
      </c>
      <c r="D634" s="4" t="s">
        <v>7</v>
      </c>
    </row>
    <row r="635" spans="1:4" x14ac:dyDescent="0.25">
      <c r="A635" s="4">
        <v>16</v>
      </c>
      <c r="B635" s="4">
        <v>0</v>
      </c>
      <c r="C635" s="4" t="s">
        <v>43</v>
      </c>
      <c r="D635" s="4" t="s">
        <v>7</v>
      </c>
    </row>
    <row r="636" spans="1:4" x14ac:dyDescent="0.25">
      <c r="A636" s="4">
        <v>16</v>
      </c>
      <c r="B636" s="4">
        <v>0</v>
      </c>
      <c r="C636" s="4" t="s">
        <v>44</v>
      </c>
      <c r="D636" s="4" t="s">
        <v>7</v>
      </c>
    </row>
    <row r="637" spans="1:4" x14ac:dyDescent="0.25">
      <c r="A637" s="4">
        <v>16</v>
      </c>
      <c r="B637" s="4">
        <v>0</v>
      </c>
      <c r="C637" s="4" t="s">
        <v>45</v>
      </c>
      <c r="D637" s="4" t="s">
        <v>7</v>
      </c>
    </row>
    <row r="638" spans="1:4" x14ac:dyDescent="0.25">
      <c r="A638" s="4">
        <v>16</v>
      </c>
      <c r="B638" s="4">
        <v>0</v>
      </c>
      <c r="C638" s="4" t="s">
        <v>46</v>
      </c>
      <c r="D638" s="4" t="s">
        <v>7</v>
      </c>
    </row>
    <row r="639" spans="1:4" x14ac:dyDescent="0.25">
      <c r="A639" s="4">
        <v>16</v>
      </c>
      <c r="B639" s="4">
        <v>0</v>
      </c>
      <c r="C639" s="4" t="s">
        <v>47</v>
      </c>
      <c r="D639" s="4" t="s">
        <v>7</v>
      </c>
    </row>
    <row r="640" spans="1:4" x14ac:dyDescent="0.25">
      <c r="A640" s="4">
        <v>16</v>
      </c>
      <c r="B640" s="4">
        <v>0</v>
      </c>
      <c r="C640" s="4" t="s">
        <v>48</v>
      </c>
      <c r="D640" s="4" t="s">
        <v>7</v>
      </c>
    </row>
    <row r="641" spans="1:4" x14ac:dyDescent="0.25">
      <c r="A641" s="4">
        <v>16</v>
      </c>
      <c r="B641" s="4">
        <v>0</v>
      </c>
      <c r="C641" s="4" t="s">
        <v>49</v>
      </c>
      <c r="D641" s="4" t="s">
        <v>7</v>
      </c>
    </row>
    <row r="642" spans="1:4" x14ac:dyDescent="0.25">
      <c r="A642" s="4">
        <v>17</v>
      </c>
      <c r="B642" s="4">
        <v>0</v>
      </c>
      <c r="C642" s="4" t="s">
        <v>40</v>
      </c>
      <c r="D642" s="4" t="s">
        <v>4</v>
      </c>
    </row>
    <row r="643" spans="1:4" x14ac:dyDescent="0.25">
      <c r="A643" s="4">
        <v>17</v>
      </c>
      <c r="B643" s="4">
        <v>0</v>
      </c>
      <c r="C643" s="4" t="s">
        <v>41</v>
      </c>
      <c r="D643" s="4" t="s">
        <v>4</v>
      </c>
    </row>
    <row r="644" spans="1:4" x14ac:dyDescent="0.25">
      <c r="A644" s="4">
        <v>17</v>
      </c>
      <c r="B644" s="4">
        <v>1</v>
      </c>
      <c r="C644" s="4" t="s">
        <v>42</v>
      </c>
      <c r="D644" s="4" t="s">
        <v>4</v>
      </c>
    </row>
    <row r="645" spans="1:4" x14ac:dyDescent="0.25">
      <c r="A645" s="4">
        <v>17</v>
      </c>
      <c r="B645" s="4">
        <v>0</v>
      </c>
      <c r="C645" s="4" t="s">
        <v>43</v>
      </c>
      <c r="D645" s="4" t="s">
        <v>4</v>
      </c>
    </row>
    <row r="646" spans="1:4" x14ac:dyDescent="0.25">
      <c r="A646" s="4">
        <v>17</v>
      </c>
      <c r="B646" s="4">
        <v>1</v>
      </c>
      <c r="C646" s="4" t="s">
        <v>44</v>
      </c>
      <c r="D646" s="4" t="s">
        <v>4</v>
      </c>
    </row>
    <row r="647" spans="1:4" x14ac:dyDescent="0.25">
      <c r="A647" s="4">
        <v>17</v>
      </c>
      <c r="B647" s="4">
        <v>0</v>
      </c>
      <c r="C647" s="4" t="s">
        <v>45</v>
      </c>
      <c r="D647" s="4" t="s">
        <v>4</v>
      </c>
    </row>
    <row r="648" spans="1:4" x14ac:dyDescent="0.25">
      <c r="A648" s="4">
        <v>17</v>
      </c>
      <c r="B648" s="4">
        <v>0</v>
      </c>
      <c r="C648" s="4" t="s">
        <v>46</v>
      </c>
      <c r="D648" s="4" t="s">
        <v>4</v>
      </c>
    </row>
    <row r="649" spans="1:4" x14ac:dyDescent="0.25">
      <c r="A649" s="4">
        <v>17</v>
      </c>
      <c r="B649" s="4">
        <v>0</v>
      </c>
      <c r="C649" s="4" t="s">
        <v>47</v>
      </c>
      <c r="D649" s="4" t="s">
        <v>4</v>
      </c>
    </row>
    <row r="650" spans="1:4" x14ac:dyDescent="0.25">
      <c r="A650" s="4">
        <v>17</v>
      </c>
      <c r="B650" s="4">
        <v>0</v>
      </c>
      <c r="C650" s="4" t="s">
        <v>48</v>
      </c>
      <c r="D650" s="4" t="s">
        <v>4</v>
      </c>
    </row>
    <row r="651" spans="1:4" x14ac:dyDescent="0.25">
      <c r="A651" s="4">
        <v>17</v>
      </c>
      <c r="B651" s="4">
        <v>0</v>
      </c>
      <c r="C651" s="4" t="s">
        <v>49</v>
      </c>
      <c r="D651" s="4" t="s">
        <v>4</v>
      </c>
    </row>
    <row r="652" spans="1:4" x14ac:dyDescent="0.25">
      <c r="A652" s="4">
        <v>17</v>
      </c>
      <c r="B652" s="4">
        <v>1</v>
      </c>
      <c r="C652" s="4" t="s">
        <v>40</v>
      </c>
      <c r="D652" s="4" t="s">
        <v>5</v>
      </c>
    </row>
    <row r="653" spans="1:4" x14ac:dyDescent="0.25">
      <c r="A653" s="4">
        <v>17</v>
      </c>
      <c r="B653" s="4">
        <v>0</v>
      </c>
      <c r="C653" s="4" t="s">
        <v>41</v>
      </c>
      <c r="D653" s="4" t="s">
        <v>5</v>
      </c>
    </row>
    <row r="654" spans="1:4" x14ac:dyDescent="0.25">
      <c r="A654" s="4">
        <v>17</v>
      </c>
      <c r="B654" s="4">
        <v>0</v>
      </c>
      <c r="C654" s="4" t="s">
        <v>42</v>
      </c>
      <c r="D654" s="4" t="s">
        <v>5</v>
      </c>
    </row>
    <row r="655" spans="1:4" x14ac:dyDescent="0.25">
      <c r="A655" s="4">
        <v>17</v>
      </c>
      <c r="B655" s="4">
        <v>1</v>
      </c>
      <c r="C655" s="4" t="s">
        <v>43</v>
      </c>
      <c r="D655" s="4" t="s">
        <v>5</v>
      </c>
    </row>
    <row r="656" spans="1:4" x14ac:dyDescent="0.25">
      <c r="A656" s="4">
        <v>17</v>
      </c>
      <c r="B656" s="4">
        <v>0</v>
      </c>
      <c r="C656" s="4" t="s">
        <v>44</v>
      </c>
      <c r="D656" s="4" t="s">
        <v>5</v>
      </c>
    </row>
    <row r="657" spans="1:4" x14ac:dyDescent="0.25">
      <c r="A657" s="4">
        <v>17</v>
      </c>
      <c r="B657" s="4">
        <v>1</v>
      </c>
      <c r="C657" s="4" t="s">
        <v>45</v>
      </c>
      <c r="D657" s="4" t="s">
        <v>5</v>
      </c>
    </row>
    <row r="658" spans="1:4" x14ac:dyDescent="0.25">
      <c r="A658" s="4">
        <v>17</v>
      </c>
      <c r="B658" s="4">
        <v>0</v>
      </c>
      <c r="C658" s="4" t="s">
        <v>46</v>
      </c>
      <c r="D658" s="4" t="s">
        <v>5</v>
      </c>
    </row>
    <row r="659" spans="1:4" x14ac:dyDescent="0.25">
      <c r="A659" s="4">
        <v>17</v>
      </c>
      <c r="B659" s="4">
        <v>0</v>
      </c>
      <c r="C659" s="4" t="s">
        <v>47</v>
      </c>
      <c r="D659" s="4" t="s">
        <v>5</v>
      </c>
    </row>
    <row r="660" spans="1:4" x14ac:dyDescent="0.25">
      <c r="A660" s="4">
        <v>17</v>
      </c>
      <c r="B660" s="4">
        <v>0</v>
      </c>
      <c r="C660" s="4" t="s">
        <v>48</v>
      </c>
      <c r="D660" s="4" t="s">
        <v>5</v>
      </c>
    </row>
    <row r="661" spans="1:4" x14ac:dyDescent="0.25">
      <c r="A661" s="4">
        <v>17</v>
      </c>
      <c r="B661" s="4">
        <v>0</v>
      </c>
      <c r="C661" s="4" t="s">
        <v>49</v>
      </c>
      <c r="D661" s="4" t="s">
        <v>5</v>
      </c>
    </row>
    <row r="662" spans="1:4" x14ac:dyDescent="0.25">
      <c r="A662" s="4">
        <v>17</v>
      </c>
      <c r="B662" s="4">
        <v>0</v>
      </c>
      <c r="C662" s="4" t="s">
        <v>40</v>
      </c>
      <c r="D662" s="4" t="s">
        <v>6</v>
      </c>
    </row>
    <row r="663" spans="1:4" x14ac:dyDescent="0.25">
      <c r="A663" s="4">
        <v>17</v>
      </c>
      <c r="B663" s="4">
        <v>0</v>
      </c>
      <c r="C663" s="4" t="s">
        <v>41</v>
      </c>
      <c r="D663" s="4" t="s">
        <v>6</v>
      </c>
    </row>
    <row r="664" spans="1:4" x14ac:dyDescent="0.25">
      <c r="A664" s="4">
        <v>17</v>
      </c>
      <c r="B664" s="4">
        <v>0</v>
      </c>
      <c r="C664" s="4" t="s">
        <v>42</v>
      </c>
      <c r="D664" s="4" t="s">
        <v>6</v>
      </c>
    </row>
    <row r="665" spans="1:4" x14ac:dyDescent="0.25">
      <c r="A665" s="4">
        <v>17</v>
      </c>
      <c r="B665" s="4">
        <v>0</v>
      </c>
      <c r="C665" s="4" t="s">
        <v>43</v>
      </c>
      <c r="D665" s="4" t="s">
        <v>6</v>
      </c>
    </row>
    <row r="666" spans="1:4" x14ac:dyDescent="0.25">
      <c r="A666" s="4">
        <v>17</v>
      </c>
      <c r="B666" s="4">
        <v>0</v>
      </c>
      <c r="C666" s="4" t="s">
        <v>44</v>
      </c>
      <c r="D666" s="4" t="s">
        <v>6</v>
      </c>
    </row>
    <row r="667" spans="1:4" x14ac:dyDescent="0.25">
      <c r="A667" s="4">
        <v>17</v>
      </c>
      <c r="B667" s="4">
        <v>0</v>
      </c>
      <c r="C667" s="4" t="s">
        <v>45</v>
      </c>
      <c r="D667" s="4" t="s">
        <v>6</v>
      </c>
    </row>
    <row r="668" spans="1:4" x14ac:dyDescent="0.25">
      <c r="A668" s="4">
        <v>17</v>
      </c>
      <c r="B668" s="4">
        <v>1</v>
      </c>
      <c r="C668" s="4" t="s">
        <v>46</v>
      </c>
      <c r="D668" s="4" t="s">
        <v>6</v>
      </c>
    </row>
    <row r="669" spans="1:4" x14ac:dyDescent="0.25">
      <c r="A669" s="4">
        <v>17</v>
      </c>
      <c r="B669" s="4">
        <v>1</v>
      </c>
      <c r="C669" s="4" t="s">
        <v>47</v>
      </c>
      <c r="D669" s="4" t="s">
        <v>6</v>
      </c>
    </row>
    <row r="670" spans="1:4" x14ac:dyDescent="0.25">
      <c r="A670" s="4">
        <v>17</v>
      </c>
      <c r="B670" s="4">
        <v>1</v>
      </c>
      <c r="C670" s="4" t="s">
        <v>48</v>
      </c>
      <c r="D670" s="4" t="s">
        <v>6</v>
      </c>
    </row>
    <row r="671" spans="1:4" x14ac:dyDescent="0.25">
      <c r="A671" s="4">
        <v>17</v>
      </c>
      <c r="B671" s="4">
        <v>1</v>
      </c>
      <c r="C671" s="4" t="s">
        <v>49</v>
      </c>
      <c r="D671" s="4" t="s">
        <v>6</v>
      </c>
    </row>
    <row r="672" spans="1:4" x14ac:dyDescent="0.25">
      <c r="A672" s="4">
        <v>17</v>
      </c>
      <c r="B672" s="4">
        <v>0</v>
      </c>
      <c r="C672" s="4" t="s">
        <v>40</v>
      </c>
      <c r="D672" s="4" t="s">
        <v>7</v>
      </c>
    </row>
    <row r="673" spans="1:4" x14ac:dyDescent="0.25">
      <c r="A673" s="4">
        <v>17</v>
      </c>
      <c r="B673" s="4">
        <v>1</v>
      </c>
      <c r="C673" s="4" t="s">
        <v>41</v>
      </c>
      <c r="D673" s="4" t="s">
        <v>7</v>
      </c>
    </row>
    <row r="674" spans="1:4" x14ac:dyDescent="0.25">
      <c r="A674" s="4">
        <v>17</v>
      </c>
      <c r="B674" s="4">
        <v>0</v>
      </c>
      <c r="C674" s="4" t="s">
        <v>42</v>
      </c>
      <c r="D674" s="4" t="s">
        <v>7</v>
      </c>
    </row>
    <row r="675" spans="1:4" x14ac:dyDescent="0.25">
      <c r="A675" s="4">
        <v>17</v>
      </c>
      <c r="B675" s="4">
        <v>0</v>
      </c>
      <c r="C675" s="4" t="s">
        <v>43</v>
      </c>
      <c r="D675" s="4" t="s">
        <v>7</v>
      </c>
    </row>
    <row r="676" spans="1:4" x14ac:dyDescent="0.25">
      <c r="A676" s="4">
        <v>17</v>
      </c>
      <c r="B676" s="4">
        <v>0</v>
      </c>
      <c r="C676" s="4" t="s">
        <v>44</v>
      </c>
      <c r="D676" s="4" t="s">
        <v>7</v>
      </c>
    </row>
    <row r="677" spans="1:4" x14ac:dyDescent="0.25">
      <c r="A677" s="4">
        <v>17</v>
      </c>
      <c r="B677" s="4">
        <v>0</v>
      </c>
      <c r="C677" s="4" t="s">
        <v>45</v>
      </c>
      <c r="D677" s="4" t="s">
        <v>7</v>
      </c>
    </row>
    <row r="678" spans="1:4" x14ac:dyDescent="0.25">
      <c r="A678" s="4">
        <v>17</v>
      </c>
      <c r="B678" s="4">
        <v>0</v>
      </c>
      <c r="C678" s="4" t="s">
        <v>46</v>
      </c>
      <c r="D678" s="4" t="s">
        <v>7</v>
      </c>
    </row>
    <row r="679" spans="1:4" x14ac:dyDescent="0.25">
      <c r="A679" s="4">
        <v>17</v>
      </c>
      <c r="B679" s="4">
        <v>0</v>
      </c>
      <c r="C679" s="4" t="s">
        <v>47</v>
      </c>
      <c r="D679" s="4" t="s">
        <v>7</v>
      </c>
    </row>
    <row r="680" spans="1:4" x14ac:dyDescent="0.25">
      <c r="A680" s="4">
        <v>17</v>
      </c>
      <c r="B680" s="4">
        <v>0</v>
      </c>
      <c r="C680" s="4" t="s">
        <v>48</v>
      </c>
      <c r="D680" s="4" t="s">
        <v>7</v>
      </c>
    </row>
    <row r="681" spans="1:4" x14ac:dyDescent="0.25">
      <c r="A681" s="4">
        <v>17</v>
      </c>
      <c r="B681" s="4">
        <v>0</v>
      </c>
      <c r="C681" s="4" t="s">
        <v>49</v>
      </c>
      <c r="D681" s="4" t="s">
        <v>7</v>
      </c>
    </row>
    <row r="682" spans="1:4" x14ac:dyDescent="0.25">
      <c r="A682" s="4">
        <v>18</v>
      </c>
      <c r="B682" s="4">
        <v>1</v>
      </c>
      <c r="C682" s="4" t="s">
        <v>40</v>
      </c>
      <c r="D682" s="4" t="s">
        <v>4</v>
      </c>
    </row>
    <row r="683" spans="1:4" x14ac:dyDescent="0.25">
      <c r="A683" s="4">
        <v>18</v>
      </c>
      <c r="B683" s="4">
        <v>0</v>
      </c>
      <c r="C683" s="4" t="s">
        <v>41</v>
      </c>
      <c r="D683" s="4" t="s">
        <v>4</v>
      </c>
    </row>
    <row r="684" spans="1:4" x14ac:dyDescent="0.25">
      <c r="A684" s="4">
        <v>18</v>
      </c>
      <c r="B684" s="4">
        <v>0</v>
      </c>
      <c r="C684" s="4" t="s">
        <v>42</v>
      </c>
      <c r="D684" s="4" t="s">
        <v>4</v>
      </c>
    </row>
    <row r="685" spans="1:4" x14ac:dyDescent="0.25">
      <c r="A685" s="4">
        <v>18</v>
      </c>
      <c r="B685" s="4">
        <v>0</v>
      </c>
      <c r="C685" s="4" t="s">
        <v>43</v>
      </c>
      <c r="D685" s="4" t="s">
        <v>4</v>
      </c>
    </row>
    <row r="686" spans="1:4" x14ac:dyDescent="0.25">
      <c r="A686" s="4">
        <v>18</v>
      </c>
      <c r="B686" s="4">
        <v>0</v>
      </c>
      <c r="C686" s="4" t="s">
        <v>44</v>
      </c>
      <c r="D686" s="4" t="s">
        <v>4</v>
      </c>
    </row>
    <row r="687" spans="1:4" x14ac:dyDescent="0.25">
      <c r="A687" s="4">
        <v>18</v>
      </c>
      <c r="B687" s="4">
        <v>1</v>
      </c>
      <c r="C687" s="4" t="s">
        <v>45</v>
      </c>
      <c r="D687" s="4" t="s">
        <v>4</v>
      </c>
    </row>
    <row r="688" spans="1:4" x14ac:dyDescent="0.25">
      <c r="A688" s="4">
        <v>18</v>
      </c>
      <c r="B688" s="4">
        <v>0</v>
      </c>
      <c r="C688" s="4" t="s">
        <v>46</v>
      </c>
      <c r="D688" s="4" t="s">
        <v>4</v>
      </c>
    </row>
    <row r="689" spans="1:4" x14ac:dyDescent="0.25">
      <c r="A689" s="4">
        <v>18</v>
      </c>
      <c r="B689" s="4">
        <v>1</v>
      </c>
      <c r="C689" s="4" t="s">
        <v>47</v>
      </c>
      <c r="D689" s="4" t="s">
        <v>4</v>
      </c>
    </row>
    <row r="690" spans="1:4" x14ac:dyDescent="0.25">
      <c r="A690" s="4">
        <v>18</v>
      </c>
      <c r="B690" s="4">
        <v>0</v>
      </c>
      <c r="C690" s="4" t="s">
        <v>48</v>
      </c>
      <c r="D690" s="4" t="s">
        <v>4</v>
      </c>
    </row>
    <row r="691" spans="1:4" x14ac:dyDescent="0.25">
      <c r="A691" s="4">
        <v>18</v>
      </c>
      <c r="B691" s="4">
        <v>0</v>
      </c>
      <c r="C691" s="4" t="s">
        <v>49</v>
      </c>
      <c r="D691" s="4" t="s">
        <v>4</v>
      </c>
    </row>
    <row r="692" spans="1:4" x14ac:dyDescent="0.25">
      <c r="A692" s="4">
        <v>18</v>
      </c>
      <c r="B692" s="4">
        <v>0</v>
      </c>
      <c r="C692" s="4" t="s">
        <v>40</v>
      </c>
      <c r="D692" s="4" t="s">
        <v>5</v>
      </c>
    </row>
    <row r="693" spans="1:4" x14ac:dyDescent="0.25">
      <c r="A693" s="4">
        <v>18</v>
      </c>
      <c r="B693" s="4">
        <v>0</v>
      </c>
      <c r="C693" s="4" t="s">
        <v>41</v>
      </c>
      <c r="D693" s="4" t="s">
        <v>5</v>
      </c>
    </row>
    <row r="694" spans="1:4" x14ac:dyDescent="0.25">
      <c r="A694" s="4">
        <v>18</v>
      </c>
      <c r="B694" s="4">
        <v>1</v>
      </c>
      <c r="C694" s="4" t="s">
        <v>42</v>
      </c>
      <c r="D694" s="4" t="s">
        <v>5</v>
      </c>
    </row>
    <row r="695" spans="1:4" x14ac:dyDescent="0.25">
      <c r="A695" s="4">
        <v>18</v>
      </c>
      <c r="B695" s="4">
        <v>1</v>
      </c>
      <c r="C695" s="4" t="s">
        <v>43</v>
      </c>
      <c r="D695" s="4" t="s">
        <v>5</v>
      </c>
    </row>
    <row r="696" spans="1:4" x14ac:dyDescent="0.25">
      <c r="A696" s="4">
        <v>18</v>
      </c>
      <c r="B696" s="4">
        <v>1</v>
      </c>
      <c r="C696" s="4" t="s">
        <v>44</v>
      </c>
      <c r="D696" s="4" t="s">
        <v>5</v>
      </c>
    </row>
    <row r="697" spans="1:4" x14ac:dyDescent="0.25">
      <c r="A697" s="4">
        <v>18</v>
      </c>
      <c r="B697" s="4">
        <v>0</v>
      </c>
      <c r="C697" s="4" t="s">
        <v>45</v>
      </c>
      <c r="D697" s="4" t="s">
        <v>5</v>
      </c>
    </row>
    <row r="698" spans="1:4" x14ac:dyDescent="0.25">
      <c r="A698" s="4">
        <v>18</v>
      </c>
      <c r="B698" s="4">
        <v>0</v>
      </c>
      <c r="C698" s="4" t="s">
        <v>46</v>
      </c>
      <c r="D698" s="4" t="s">
        <v>5</v>
      </c>
    </row>
    <row r="699" spans="1:4" x14ac:dyDescent="0.25">
      <c r="A699" s="4">
        <v>18</v>
      </c>
      <c r="B699" s="4">
        <v>0</v>
      </c>
      <c r="C699" s="4" t="s">
        <v>47</v>
      </c>
      <c r="D699" s="4" t="s">
        <v>5</v>
      </c>
    </row>
    <row r="700" spans="1:4" x14ac:dyDescent="0.25">
      <c r="A700" s="4">
        <v>18</v>
      </c>
      <c r="B700" s="4">
        <v>1</v>
      </c>
      <c r="C700" s="4" t="s">
        <v>48</v>
      </c>
      <c r="D700" s="4" t="s">
        <v>5</v>
      </c>
    </row>
    <row r="701" spans="1:4" x14ac:dyDescent="0.25">
      <c r="A701" s="4">
        <v>18</v>
      </c>
      <c r="B701" s="4">
        <v>0</v>
      </c>
      <c r="C701" s="4" t="s">
        <v>49</v>
      </c>
      <c r="D701" s="4" t="s">
        <v>5</v>
      </c>
    </row>
    <row r="702" spans="1:4" x14ac:dyDescent="0.25">
      <c r="A702" s="4">
        <v>18</v>
      </c>
      <c r="B702" s="4">
        <v>0</v>
      </c>
      <c r="C702" s="4" t="s">
        <v>40</v>
      </c>
      <c r="D702" s="4" t="s">
        <v>6</v>
      </c>
    </row>
    <row r="703" spans="1:4" x14ac:dyDescent="0.25">
      <c r="A703" s="4">
        <v>18</v>
      </c>
      <c r="B703" s="4">
        <v>1</v>
      </c>
      <c r="C703" s="4" t="s">
        <v>41</v>
      </c>
      <c r="D703" s="4" t="s">
        <v>6</v>
      </c>
    </row>
    <row r="704" spans="1:4" x14ac:dyDescent="0.25">
      <c r="A704" s="4">
        <v>18</v>
      </c>
      <c r="B704" s="4">
        <v>0</v>
      </c>
      <c r="C704" s="4" t="s">
        <v>42</v>
      </c>
      <c r="D704" s="4" t="s">
        <v>6</v>
      </c>
    </row>
    <row r="705" spans="1:4" x14ac:dyDescent="0.25">
      <c r="A705" s="4">
        <v>18</v>
      </c>
      <c r="B705" s="4">
        <v>0</v>
      </c>
      <c r="C705" s="4" t="s">
        <v>43</v>
      </c>
      <c r="D705" s="4" t="s">
        <v>6</v>
      </c>
    </row>
    <row r="706" spans="1:4" x14ac:dyDescent="0.25">
      <c r="A706" s="4">
        <v>18</v>
      </c>
      <c r="B706" s="4">
        <v>0</v>
      </c>
      <c r="C706" s="4" t="s">
        <v>44</v>
      </c>
      <c r="D706" s="4" t="s">
        <v>6</v>
      </c>
    </row>
    <row r="707" spans="1:4" x14ac:dyDescent="0.25">
      <c r="A707" s="4">
        <v>18</v>
      </c>
      <c r="B707" s="4">
        <v>0</v>
      </c>
      <c r="C707" s="4" t="s">
        <v>45</v>
      </c>
      <c r="D707" s="4" t="s">
        <v>6</v>
      </c>
    </row>
    <row r="708" spans="1:4" x14ac:dyDescent="0.25">
      <c r="A708" s="4">
        <v>18</v>
      </c>
      <c r="B708" s="4">
        <v>0</v>
      </c>
      <c r="C708" s="4" t="s">
        <v>46</v>
      </c>
      <c r="D708" s="4" t="s">
        <v>6</v>
      </c>
    </row>
    <row r="709" spans="1:4" x14ac:dyDescent="0.25">
      <c r="A709" s="4">
        <v>18</v>
      </c>
      <c r="B709" s="4">
        <v>0</v>
      </c>
      <c r="C709" s="4" t="s">
        <v>47</v>
      </c>
      <c r="D709" s="4" t="s">
        <v>6</v>
      </c>
    </row>
    <row r="710" spans="1:4" x14ac:dyDescent="0.25">
      <c r="A710" s="4">
        <v>18</v>
      </c>
      <c r="B710" s="4">
        <v>0</v>
      </c>
      <c r="C710" s="4" t="s">
        <v>48</v>
      </c>
      <c r="D710" s="4" t="s">
        <v>6</v>
      </c>
    </row>
    <row r="711" spans="1:4" x14ac:dyDescent="0.25">
      <c r="A711" s="4">
        <v>18</v>
      </c>
      <c r="B711" s="4">
        <v>1</v>
      </c>
      <c r="C711" s="4" t="s">
        <v>49</v>
      </c>
      <c r="D711" s="4" t="s">
        <v>6</v>
      </c>
    </row>
    <row r="712" spans="1:4" x14ac:dyDescent="0.25">
      <c r="A712" s="4">
        <v>18</v>
      </c>
      <c r="B712" s="4">
        <v>0</v>
      </c>
      <c r="C712" s="4" t="s">
        <v>40</v>
      </c>
      <c r="D712" s="4" t="s">
        <v>7</v>
      </c>
    </row>
    <row r="713" spans="1:4" x14ac:dyDescent="0.25">
      <c r="A713" s="4">
        <v>18</v>
      </c>
      <c r="B713" s="4">
        <v>0</v>
      </c>
      <c r="C713" s="4" t="s">
        <v>41</v>
      </c>
      <c r="D713" s="4" t="s">
        <v>7</v>
      </c>
    </row>
    <row r="714" spans="1:4" x14ac:dyDescent="0.25">
      <c r="A714" s="4">
        <v>18</v>
      </c>
      <c r="B714" s="4">
        <v>0</v>
      </c>
      <c r="C714" s="4" t="s">
        <v>42</v>
      </c>
      <c r="D714" s="4" t="s">
        <v>7</v>
      </c>
    </row>
    <row r="715" spans="1:4" x14ac:dyDescent="0.25">
      <c r="A715" s="4">
        <v>18</v>
      </c>
      <c r="B715" s="4">
        <v>0</v>
      </c>
      <c r="C715" s="4" t="s">
        <v>43</v>
      </c>
      <c r="D715" s="4" t="s">
        <v>7</v>
      </c>
    </row>
    <row r="716" spans="1:4" x14ac:dyDescent="0.25">
      <c r="A716" s="4">
        <v>18</v>
      </c>
      <c r="B716" s="4">
        <v>0</v>
      </c>
      <c r="C716" s="4" t="s">
        <v>44</v>
      </c>
      <c r="D716" s="4" t="s">
        <v>7</v>
      </c>
    </row>
    <row r="717" spans="1:4" x14ac:dyDescent="0.25">
      <c r="A717" s="4">
        <v>18</v>
      </c>
      <c r="B717" s="4">
        <v>0</v>
      </c>
      <c r="C717" s="4" t="s">
        <v>45</v>
      </c>
      <c r="D717" s="4" t="s">
        <v>7</v>
      </c>
    </row>
    <row r="718" spans="1:4" x14ac:dyDescent="0.25">
      <c r="A718" s="4">
        <v>18</v>
      </c>
      <c r="B718" s="4">
        <v>1</v>
      </c>
      <c r="C718" s="4" t="s">
        <v>46</v>
      </c>
      <c r="D718" s="4" t="s">
        <v>7</v>
      </c>
    </row>
    <row r="719" spans="1:4" x14ac:dyDescent="0.25">
      <c r="A719" s="4">
        <v>18</v>
      </c>
      <c r="B719" s="4">
        <v>0</v>
      </c>
      <c r="C719" s="4" t="s">
        <v>47</v>
      </c>
      <c r="D719" s="4" t="s">
        <v>7</v>
      </c>
    </row>
    <row r="720" spans="1:4" x14ac:dyDescent="0.25">
      <c r="A720" s="4">
        <v>18</v>
      </c>
      <c r="B720" s="4">
        <v>0</v>
      </c>
      <c r="C720" s="4" t="s">
        <v>48</v>
      </c>
      <c r="D720" s="4" t="s">
        <v>7</v>
      </c>
    </row>
    <row r="721" spans="1:4" x14ac:dyDescent="0.25">
      <c r="A721" s="4">
        <v>18</v>
      </c>
      <c r="B721" s="4">
        <v>0</v>
      </c>
      <c r="C721" s="4" t="s">
        <v>49</v>
      </c>
      <c r="D721" s="4" t="s">
        <v>7</v>
      </c>
    </row>
    <row r="722" spans="1:4" x14ac:dyDescent="0.25">
      <c r="A722" s="4">
        <v>19</v>
      </c>
      <c r="B722" s="4">
        <v>0</v>
      </c>
      <c r="C722" s="4" t="s">
        <v>40</v>
      </c>
      <c r="D722" s="4" t="s">
        <v>4</v>
      </c>
    </row>
    <row r="723" spans="1:4" x14ac:dyDescent="0.25">
      <c r="A723" s="4">
        <v>19</v>
      </c>
      <c r="B723" s="4">
        <v>0</v>
      </c>
      <c r="C723" s="4" t="s">
        <v>41</v>
      </c>
      <c r="D723" s="4" t="s">
        <v>4</v>
      </c>
    </row>
    <row r="724" spans="1:4" x14ac:dyDescent="0.25">
      <c r="A724" s="4">
        <v>19</v>
      </c>
      <c r="B724" s="4">
        <v>0</v>
      </c>
      <c r="C724" s="4" t="s">
        <v>42</v>
      </c>
      <c r="D724" s="4" t="s">
        <v>4</v>
      </c>
    </row>
    <row r="725" spans="1:4" x14ac:dyDescent="0.25">
      <c r="A725" s="4">
        <v>19</v>
      </c>
      <c r="B725" s="4">
        <v>0</v>
      </c>
      <c r="C725" s="4" t="s">
        <v>43</v>
      </c>
      <c r="D725" s="4" t="s">
        <v>4</v>
      </c>
    </row>
    <row r="726" spans="1:4" x14ac:dyDescent="0.25">
      <c r="A726" s="4">
        <v>19</v>
      </c>
      <c r="B726" s="4">
        <v>0</v>
      </c>
      <c r="C726" s="4" t="s">
        <v>44</v>
      </c>
      <c r="D726" s="4" t="s">
        <v>4</v>
      </c>
    </row>
    <row r="727" spans="1:4" x14ac:dyDescent="0.25">
      <c r="A727" s="4">
        <v>19</v>
      </c>
      <c r="B727" s="4">
        <v>1</v>
      </c>
      <c r="C727" s="4" t="s">
        <v>45</v>
      </c>
      <c r="D727" s="4" t="s">
        <v>4</v>
      </c>
    </row>
    <row r="728" spans="1:4" x14ac:dyDescent="0.25">
      <c r="A728" s="4">
        <v>19</v>
      </c>
      <c r="B728" s="4">
        <v>0</v>
      </c>
      <c r="C728" s="4" t="s">
        <v>46</v>
      </c>
      <c r="D728" s="4" t="s">
        <v>4</v>
      </c>
    </row>
    <row r="729" spans="1:4" x14ac:dyDescent="0.25">
      <c r="A729" s="4">
        <v>19</v>
      </c>
      <c r="B729" s="4">
        <v>1</v>
      </c>
      <c r="C729" s="4" t="s">
        <v>47</v>
      </c>
      <c r="D729" s="4" t="s">
        <v>4</v>
      </c>
    </row>
    <row r="730" spans="1:4" x14ac:dyDescent="0.25">
      <c r="A730" s="4">
        <v>19</v>
      </c>
      <c r="B730" s="4">
        <v>0</v>
      </c>
      <c r="C730" s="4" t="s">
        <v>48</v>
      </c>
      <c r="D730" s="4" t="s">
        <v>4</v>
      </c>
    </row>
    <row r="731" spans="1:4" x14ac:dyDescent="0.25">
      <c r="A731" s="4">
        <v>19</v>
      </c>
      <c r="B731" s="4">
        <v>0</v>
      </c>
      <c r="C731" s="4" t="s">
        <v>49</v>
      </c>
      <c r="D731" s="4" t="s">
        <v>4</v>
      </c>
    </row>
    <row r="732" spans="1:4" x14ac:dyDescent="0.25">
      <c r="A732" s="4">
        <v>19</v>
      </c>
      <c r="B732" s="4">
        <v>1</v>
      </c>
      <c r="C732" s="4" t="s">
        <v>40</v>
      </c>
      <c r="D732" s="4" t="s">
        <v>5</v>
      </c>
    </row>
    <row r="733" spans="1:4" x14ac:dyDescent="0.25">
      <c r="A733" s="4">
        <v>19</v>
      </c>
      <c r="B733" s="4">
        <v>0</v>
      </c>
      <c r="C733" s="4" t="s">
        <v>41</v>
      </c>
      <c r="D733" s="4" t="s">
        <v>5</v>
      </c>
    </row>
    <row r="734" spans="1:4" x14ac:dyDescent="0.25">
      <c r="A734" s="4">
        <v>19</v>
      </c>
      <c r="B734" s="4">
        <v>1</v>
      </c>
      <c r="C734" s="4" t="s">
        <v>42</v>
      </c>
      <c r="D734" s="4" t="s">
        <v>5</v>
      </c>
    </row>
    <row r="735" spans="1:4" x14ac:dyDescent="0.25">
      <c r="A735" s="4">
        <v>19</v>
      </c>
      <c r="B735" s="4">
        <v>1</v>
      </c>
      <c r="C735" s="4" t="s">
        <v>43</v>
      </c>
      <c r="D735" s="4" t="s">
        <v>5</v>
      </c>
    </row>
    <row r="736" spans="1:4" x14ac:dyDescent="0.25">
      <c r="A736" s="4">
        <v>19</v>
      </c>
      <c r="B736" s="4">
        <v>1</v>
      </c>
      <c r="C736" s="4" t="s">
        <v>44</v>
      </c>
      <c r="D736" s="4" t="s">
        <v>5</v>
      </c>
    </row>
    <row r="737" spans="1:4" x14ac:dyDescent="0.25">
      <c r="A737" s="4">
        <v>19</v>
      </c>
      <c r="B737" s="4">
        <v>0</v>
      </c>
      <c r="C737" s="4" t="s">
        <v>45</v>
      </c>
      <c r="D737" s="4" t="s">
        <v>5</v>
      </c>
    </row>
    <row r="738" spans="1:4" x14ac:dyDescent="0.25">
      <c r="A738" s="4">
        <v>19</v>
      </c>
      <c r="B738" s="4">
        <v>0</v>
      </c>
      <c r="C738" s="4" t="s">
        <v>46</v>
      </c>
      <c r="D738" s="4" t="s">
        <v>5</v>
      </c>
    </row>
    <row r="739" spans="1:4" x14ac:dyDescent="0.25">
      <c r="A739" s="4">
        <v>19</v>
      </c>
      <c r="B739" s="4">
        <v>0</v>
      </c>
      <c r="C739" s="4" t="s">
        <v>47</v>
      </c>
      <c r="D739" s="4" t="s">
        <v>5</v>
      </c>
    </row>
    <row r="740" spans="1:4" x14ac:dyDescent="0.25">
      <c r="A740" s="4">
        <v>19</v>
      </c>
      <c r="B740" s="4">
        <v>0</v>
      </c>
      <c r="C740" s="4" t="s">
        <v>48</v>
      </c>
      <c r="D740" s="4" t="s">
        <v>5</v>
      </c>
    </row>
    <row r="741" spans="1:4" x14ac:dyDescent="0.25">
      <c r="A741" s="4">
        <v>19</v>
      </c>
      <c r="B741" s="4">
        <v>0</v>
      </c>
      <c r="C741" s="4" t="s">
        <v>49</v>
      </c>
      <c r="D741" s="4" t="s">
        <v>5</v>
      </c>
    </row>
    <row r="742" spans="1:4" x14ac:dyDescent="0.25">
      <c r="A742" s="4">
        <v>19</v>
      </c>
      <c r="B742" s="4">
        <v>0</v>
      </c>
      <c r="C742" s="4" t="s">
        <v>40</v>
      </c>
      <c r="D742" s="4" t="s">
        <v>6</v>
      </c>
    </row>
    <row r="743" spans="1:4" x14ac:dyDescent="0.25">
      <c r="A743" s="4">
        <v>19</v>
      </c>
      <c r="B743" s="4">
        <v>1</v>
      </c>
      <c r="C743" s="4" t="s">
        <v>41</v>
      </c>
      <c r="D743" s="4" t="s">
        <v>6</v>
      </c>
    </row>
    <row r="744" spans="1:4" x14ac:dyDescent="0.25">
      <c r="A744" s="4">
        <v>19</v>
      </c>
      <c r="B744" s="4">
        <v>0</v>
      </c>
      <c r="C744" s="4" t="s">
        <v>42</v>
      </c>
      <c r="D744" s="4" t="s">
        <v>6</v>
      </c>
    </row>
    <row r="745" spans="1:4" x14ac:dyDescent="0.25">
      <c r="A745" s="4">
        <v>19</v>
      </c>
      <c r="B745" s="4">
        <v>0</v>
      </c>
      <c r="C745" s="4" t="s">
        <v>43</v>
      </c>
      <c r="D745" s="4" t="s">
        <v>6</v>
      </c>
    </row>
    <row r="746" spans="1:4" x14ac:dyDescent="0.25">
      <c r="A746" s="4">
        <v>19</v>
      </c>
      <c r="B746" s="4">
        <v>0</v>
      </c>
      <c r="C746" s="4" t="s">
        <v>44</v>
      </c>
      <c r="D746" s="4" t="s">
        <v>6</v>
      </c>
    </row>
    <row r="747" spans="1:4" x14ac:dyDescent="0.25">
      <c r="A747" s="4">
        <v>19</v>
      </c>
      <c r="B747" s="4">
        <v>0</v>
      </c>
      <c r="C747" s="4" t="s">
        <v>45</v>
      </c>
      <c r="D747" s="4" t="s">
        <v>6</v>
      </c>
    </row>
    <row r="748" spans="1:4" x14ac:dyDescent="0.25">
      <c r="A748" s="4">
        <v>19</v>
      </c>
      <c r="B748" s="4">
        <v>0</v>
      </c>
      <c r="C748" s="4" t="s">
        <v>46</v>
      </c>
      <c r="D748" s="4" t="s">
        <v>6</v>
      </c>
    </row>
    <row r="749" spans="1:4" x14ac:dyDescent="0.25">
      <c r="A749" s="4">
        <v>19</v>
      </c>
      <c r="B749" s="4">
        <v>0</v>
      </c>
      <c r="C749" s="4" t="s">
        <v>47</v>
      </c>
      <c r="D749" s="4" t="s">
        <v>6</v>
      </c>
    </row>
    <row r="750" spans="1:4" x14ac:dyDescent="0.25">
      <c r="A750" s="4">
        <v>19</v>
      </c>
      <c r="B750" s="4">
        <v>1</v>
      </c>
      <c r="C750" s="4" t="s">
        <v>48</v>
      </c>
      <c r="D750" s="4" t="s">
        <v>6</v>
      </c>
    </row>
    <row r="751" spans="1:4" x14ac:dyDescent="0.25">
      <c r="A751" s="4">
        <v>19</v>
      </c>
      <c r="B751" s="4">
        <v>1</v>
      </c>
      <c r="C751" s="4" t="s">
        <v>49</v>
      </c>
      <c r="D751" s="4" t="s">
        <v>6</v>
      </c>
    </row>
    <row r="752" spans="1:4" x14ac:dyDescent="0.25">
      <c r="A752" s="4">
        <v>19</v>
      </c>
      <c r="B752" s="4">
        <v>0</v>
      </c>
      <c r="C752" s="4" t="s">
        <v>40</v>
      </c>
      <c r="D752" s="4" t="s">
        <v>7</v>
      </c>
    </row>
    <row r="753" spans="1:4" x14ac:dyDescent="0.25">
      <c r="A753" s="4">
        <v>19</v>
      </c>
      <c r="B753" s="4">
        <v>0</v>
      </c>
      <c r="C753" s="4" t="s">
        <v>41</v>
      </c>
      <c r="D753" s="4" t="s">
        <v>7</v>
      </c>
    </row>
    <row r="754" spans="1:4" x14ac:dyDescent="0.25">
      <c r="A754" s="4">
        <v>19</v>
      </c>
      <c r="B754" s="4">
        <v>0</v>
      </c>
      <c r="C754" s="4" t="s">
        <v>42</v>
      </c>
      <c r="D754" s="4" t="s">
        <v>7</v>
      </c>
    </row>
    <row r="755" spans="1:4" x14ac:dyDescent="0.25">
      <c r="A755" s="4">
        <v>19</v>
      </c>
      <c r="B755" s="4">
        <v>0</v>
      </c>
      <c r="C755" s="4" t="s">
        <v>43</v>
      </c>
      <c r="D755" s="4" t="s">
        <v>7</v>
      </c>
    </row>
    <row r="756" spans="1:4" x14ac:dyDescent="0.25">
      <c r="A756" s="4">
        <v>19</v>
      </c>
      <c r="B756" s="4">
        <v>0</v>
      </c>
      <c r="C756" s="4" t="s">
        <v>44</v>
      </c>
      <c r="D756" s="4" t="s">
        <v>7</v>
      </c>
    </row>
    <row r="757" spans="1:4" x14ac:dyDescent="0.25">
      <c r="A757" s="4">
        <v>19</v>
      </c>
      <c r="B757" s="4">
        <v>0</v>
      </c>
      <c r="C757" s="4" t="s">
        <v>45</v>
      </c>
      <c r="D757" s="4" t="s">
        <v>7</v>
      </c>
    </row>
    <row r="758" spans="1:4" x14ac:dyDescent="0.25">
      <c r="A758" s="4">
        <v>19</v>
      </c>
      <c r="B758" s="4">
        <v>1</v>
      </c>
      <c r="C758" s="4" t="s">
        <v>46</v>
      </c>
      <c r="D758" s="4" t="s">
        <v>7</v>
      </c>
    </row>
    <row r="759" spans="1:4" x14ac:dyDescent="0.25">
      <c r="A759" s="4">
        <v>19</v>
      </c>
      <c r="B759" s="4">
        <v>0</v>
      </c>
      <c r="C759" s="4" t="s">
        <v>47</v>
      </c>
      <c r="D759" s="4" t="s">
        <v>7</v>
      </c>
    </row>
    <row r="760" spans="1:4" x14ac:dyDescent="0.25">
      <c r="A760" s="4">
        <v>19</v>
      </c>
      <c r="B760" s="4">
        <v>0</v>
      </c>
      <c r="C760" s="4" t="s">
        <v>48</v>
      </c>
      <c r="D760" s="4" t="s">
        <v>7</v>
      </c>
    </row>
    <row r="761" spans="1:4" x14ac:dyDescent="0.25">
      <c r="A761" s="4">
        <v>19</v>
      </c>
      <c r="B761" s="4">
        <v>0</v>
      </c>
      <c r="C761" s="4" t="s">
        <v>49</v>
      </c>
      <c r="D761" s="4" t="s">
        <v>7</v>
      </c>
    </row>
    <row r="762" spans="1:4" x14ac:dyDescent="0.25">
      <c r="A762" s="4">
        <v>20</v>
      </c>
      <c r="B762" s="4">
        <v>0</v>
      </c>
      <c r="C762" s="4" t="s">
        <v>40</v>
      </c>
      <c r="D762" s="4" t="s">
        <v>4</v>
      </c>
    </row>
    <row r="763" spans="1:4" x14ac:dyDescent="0.25">
      <c r="A763" s="4">
        <v>20</v>
      </c>
      <c r="B763" s="4">
        <v>0</v>
      </c>
      <c r="C763" s="4" t="s">
        <v>41</v>
      </c>
      <c r="D763" s="4" t="s">
        <v>4</v>
      </c>
    </row>
    <row r="764" spans="1:4" x14ac:dyDescent="0.25">
      <c r="A764" s="4">
        <v>20</v>
      </c>
      <c r="B764" s="4">
        <v>1</v>
      </c>
      <c r="C764" s="4" t="s">
        <v>42</v>
      </c>
      <c r="D764" s="4" t="s">
        <v>4</v>
      </c>
    </row>
    <row r="765" spans="1:4" x14ac:dyDescent="0.25">
      <c r="A765" s="4">
        <v>20</v>
      </c>
      <c r="B765" s="4">
        <v>0</v>
      </c>
      <c r="C765" s="4" t="s">
        <v>43</v>
      </c>
      <c r="D765" s="4" t="s">
        <v>4</v>
      </c>
    </row>
    <row r="766" spans="1:4" x14ac:dyDescent="0.25">
      <c r="A766" s="4">
        <v>20</v>
      </c>
      <c r="B766" s="4">
        <v>0</v>
      </c>
      <c r="C766" s="4" t="s">
        <v>44</v>
      </c>
      <c r="D766" s="4" t="s">
        <v>4</v>
      </c>
    </row>
    <row r="767" spans="1:4" x14ac:dyDescent="0.25">
      <c r="A767" s="4">
        <v>20</v>
      </c>
      <c r="B767" s="4">
        <v>0</v>
      </c>
      <c r="C767" s="4" t="s">
        <v>45</v>
      </c>
      <c r="D767" s="4" t="s">
        <v>4</v>
      </c>
    </row>
    <row r="768" spans="1:4" x14ac:dyDescent="0.25">
      <c r="A768" s="4">
        <v>20</v>
      </c>
      <c r="B768" s="4">
        <v>0</v>
      </c>
      <c r="C768" s="4" t="s">
        <v>46</v>
      </c>
      <c r="D768" s="4" t="s">
        <v>4</v>
      </c>
    </row>
    <row r="769" spans="1:4" x14ac:dyDescent="0.25">
      <c r="A769" s="4">
        <v>20</v>
      </c>
      <c r="B769" s="4">
        <v>0</v>
      </c>
      <c r="C769" s="4" t="s">
        <v>47</v>
      </c>
      <c r="D769" s="4" t="s">
        <v>4</v>
      </c>
    </row>
    <row r="770" spans="1:4" x14ac:dyDescent="0.25">
      <c r="A770" s="4">
        <v>20</v>
      </c>
      <c r="B770" s="4">
        <v>1</v>
      </c>
      <c r="C770" s="4" t="s">
        <v>48</v>
      </c>
      <c r="D770" s="4" t="s">
        <v>4</v>
      </c>
    </row>
    <row r="771" spans="1:4" x14ac:dyDescent="0.25">
      <c r="A771" s="4">
        <v>20</v>
      </c>
      <c r="B771" s="4">
        <v>1</v>
      </c>
      <c r="C771" s="4" t="s">
        <v>49</v>
      </c>
      <c r="D771" s="4" t="s">
        <v>4</v>
      </c>
    </row>
    <row r="772" spans="1:4" x14ac:dyDescent="0.25">
      <c r="A772" s="4">
        <v>20</v>
      </c>
      <c r="B772" s="4">
        <v>1</v>
      </c>
      <c r="C772" s="4" t="s">
        <v>40</v>
      </c>
      <c r="D772" s="4" t="s">
        <v>5</v>
      </c>
    </row>
    <row r="773" spans="1:4" x14ac:dyDescent="0.25">
      <c r="A773" s="4">
        <v>20</v>
      </c>
      <c r="B773" s="4">
        <v>0</v>
      </c>
      <c r="C773" s="4" t="s">
        <v>41</v>
      </c>
      <c r="D773" s="4" t="s">
        <v>5</v>
      </c>
    </row>
    <row r="774" spans="1:4" x14ac:dyDescent="0.25">
      <c r="A774" s="4">
        <v>20</v>
      </c>
      <c r="B774" s="4">
        <v>0</v>
      </c>
      <c r="C774" s="4" t="s">
        <v>42</v>
      </c>
      <c r="D774" s="4" t="s">
        <v>5</v>
      </c>
    </row>
    <row r="775" spans="1:4" x14ac:dyDescent="0.25">
      <c r="A775" s="4">
        <v>20</v>
      </c>
      <c r="B775" s="4">
        <v>0</v>
      </c>
      <c r="C775" s="4" t="s">
        <v>43</v>
      </c>
      <c r="D775" s="4" t="s">
        <v>5</v>
      </c>
    </row>
    <row r="776" spans="1:4" x14ac:dyDescent="0.25">
      <c r="A776" s="4">
        <v>20</v>
      </c>
      <c r="B776" s="4">
        <v>0</v>
      </c>
      <c r="C776" s="4" t="s">
        <v>44</v>
      </c>
      <c r="D776" s="4" t="s">
        <v>5</v>
      </c>
    </row>
    <row r="777" spans="1:4" x14ac:dyDescent="0.25">
      <c r="A777" s="4">
        <v>20</v>
      </c>
      <c r="B777" s="4">
        <v>1</v>
      </c>
      <c r="C777" s="4" t="s">
        <v>45</v>
      </c>
      <c r="D777" s="4" t="s">
        <v>5</v>
      </c>
    </row>
    <row r="778" spans="1:4" x14ac:dyDescent="0.25">
      <c r="A778" s="4">
        <v>20</v>
      </c>
      <c r="B778" s="4">
        <v>0</v>
      </c>
      <c r="C778" s="4" t="s">
        <v>46</v>
      </c>
      <c r="D778" s="4" t="s">
        <v>5</v>
      </c>
    </row>
    <row r="779" spans="1:4" x14ac:dyDescent="0.25">
      <c r="A779" s="4">
        <v>20</v>
      </c>
      <c r="B779" s="4">
        <v>1</v>
      </c>
      <c r="C779" s="4" t="s">
        <v>47</v>
      </c>
      <c r="D779" s="4" t="s">
        <v>5</v>
      </c>
    </row>
    <row r="780" spans="1:4" x14ac:dyDescent="0.25">
      <c r="A780" s="4">
        <v>20</v>
      </c>
      <c r="B780" s="4">
        <v>0</v>
      </c>
      <c r="C780" s="4" t="s">
        <v>48</v>
      </c>
      <c r="D780" s="4" t="s">
        <v>5</v>
      </c>
    </row>
    <row r="781" spans="1:4" x14ac:dyDescent="0.25">
      <c r="A781" s="4">
        <v>20</v>
      </c>
      <c r="B781" s="4">
        <v>0</v>
      </c>
      <c r="C781" s="4" t="s">
        <v>49</v>
      </c>
      <c r="D781" s="4" t="s">
        <v>5</v>
      </c>
    </row>
    <row r="782" spans="1:4" x14ac:dyDescent="0.25">
      <c r="A782" s="4">
        <v>20</v>
      </c>
      <c r="B782" s="4">
        <v>0</v>
      </c>
      <c r="C782" s="4" t="s">
        <v>40</v>
      </c>
      <c r="D782" s="4" t="s">
        <v>6</v>
      </c>
    </row>
    <row r="783" spans="1:4" x14ac:dyDescent="0.25">
      <c r="A783" s="4">
        <v>20</v>
      </c>
      <c r="B783" s="4">
        <v>0</v>
      </c>
      <c r="C783" s="4" t="s">
        <v>41</v>
      </c>
      <c r="D783" s="4" t="s">
        <v>6</v>
      </c>
    </row>
    <row r="784" spans="1:4" x14ac:dyDescent="0.25">
      <c r="A784" s="4">
        <v>20</v>
      </c>
      <c r="B784" s="4">
        <v>0</v>
      </c>
      <c r="C784" s="4" t="s">
        <v>42</v>
      </c>
      <c r="D784" s="4" t="s">
        <v>6</v>
      </c>
    </row>
    <row r="785" spans="1:4" x14ac:dyDescent="0.25">
      <c r="A785" s="4">
        <v>20</v>
      </c>
      <c r="B785" s="4">
        <v>0</v>
      </c>
      <c r="C785" s="4" t="s">
        <v>43</v>
      </c>
      <c r="D785" s="4" t="s">
        <v>6</v>
      </c>
    </row>
    <row r="786" spans="1:4" x14ac:dyDescent="0.25">
      <c r="A786" s="4">
        <v>20</v>
      </c>
      <c r="B786" s="4">
        <v>1</v>
      </c>
      <c r="C786" s="4" t="s">
        <v>44</v>
      </c>
      <c r="D786" s="4" t="s">
        <v>6</v>
      </c>
    </row>
    <row r="787" spans="1:4" x14ac:dyDescent="0.25">
      <c r="A787" s="4">
        <v>20</v>
      </c>
      <c r="B787" s="4">
        <v>0</v>
      </c>
      <c r="C787" s="4" t="s">
        <v>45</v>
      </c>
      <c r="D787" s="4" t="s">
        <v>6</v>
      </c>
    </row>
    <row r="788" spans="1:4" x14ac:dyDescent="0.25">
      <c r="A788" s="4">
        <v>20</v>
      </c>
      <c r="B788" s="4">
        <v>1</v>
      </c>
      <c r="C788" s="4" t="s">
        <v>46</v>
      </c>
      <c r="D788" s="4" t="s">
        <v>6</v>
      </c>
    </row>
    <row r="789" spans="1:4" x14ac:dyDescent="0.25">
      <c r="A789" s="4">
        <v>20</v>
      </c>
      <c r="B789" s="4">
        <v>0</v>
      </c>
      <c r="C789" s="4" t="s">
        <v>47</v>
      </c>
      <c r="D789" s="4" t="s">
        <v>6</v>
      </c>
    </row>
    <row r="790" spans="1:4" x14ac:dyDescent="0.25">
      <c r="A790" s="4">
        <v>20</v>
      </c>
      <c r="B790" s="4">
        <v>0</v>
      </c>
      <c r="C790" s="4" t="s">
        <v>48</v>
      </c>
      <c r="D790" s="4" t="s">
        <v>6</v>
      </c>
    </row>
    <row r="791" spans="1:4" x14ac:dyDescent="0.25">
      <c r="A791" s="4">
        <v>20</v>
      </c>
      <c r="B791" s="4">
        <v>0</v>
      </c>
      <c r="C791" s="4" t="s">
        <v>49</v>
      </c>
      <c r="D791" s="4" t="s">
        <v>6</v>
      </c>
    </row>
    <row r="792" spans="1:4" x14ac:dyDescent="0.25">
      <c r="A792" s="4">
        <v>20</v>
      </c>
      <c r="B792" s="4">
        <v>0</v>
      </c>
      <c r="C792" s="4" t="s">
        <v>40</v>
      </c>
      <c r="D792" s="4" t="s">
        <v>7</v>
      </c>
    </row>
    <row r="793" spans="1:4" x14ac:dyDescent="0.25">
      <c r="A793" s="4">
        <v>20</v>
      </c>
      <c r="B793" s="4">
        <v>1</v>
      </c>
      <c r="C793" s="4" t="s">
        <v>41</v>
      </c>
      <c r="D793" s="4" t="s">
        <v>7</v>
      </c>
    </row>
    <row r="794" spans="1:4" x14ac:dyDescent="0.25">
      <c r="A794" s="4">
        <v>20</v>
      </c>
      <c r="B794" s="4">
        <v>0</v>
      </c>
      <c r="C794" s="4" t="s">
        <v>42</v>
      </c>
      <c r="D794" s="4" t="s">
        <v>7</v>
      </c>
    </row>
    <row r="795" spans="1:4" x14ac:dyDescent="0.25">
      <c r="A795" s="4">
        <v>20</v>
      </c>
      <c r="B795" s="4">
        <v>1</v>
      </c>
      <c r="C795" s="4" t="s">
        <v>43</v>
      </c>
      <c r="D795" s="4" t="s">
        <v>7</v>
      </c>
    </row>
    <row r="796" spans="1:4" x14ac:dyDescent="0.25">
      <c r="A796" s="4">
        <v>20</v>
      </c>
      <c r="B796" s="4">
        <v>0</v>
      </c>
      <c r="C796" s="4" t="s">
        <v>44</v>
      </c>
      <c r="D796" s="4" t="s">
        <v>7</v>
      </c>
    </row>
    <row r="797" spans="1:4" x14ac:dyDescent="0.25">
      <c r="A797" s="4">
        <v>20</v>
      </c>
      <c r="B797" s="4">
        <v>0</v>
      </c>
      <c r="C797" s="4" t="s">
        <v>45</v>
      </c>
      <c r="D797" s="4" t="s">
        <v>7</v>
      </c>
    </row>
    <row r="798" spans="1:4" x14ac:dyDescent="0.25">
      <c r="A798" s="4">
        <v>20</v>
      </c>
      <c r="B798" s="4">
        <v>0</v>
      </c>
      <c r="C798" s="4" t="s">
        <v>46</v>
      </c>
      <c r="D798" s="4" t="s">
        <v>7</v>
      </c>
    </row>
    <row r="799" spans="1:4" x14ac:dyDescent="0.25">
      <c r="A799" s="4">
        <v>20</v>
      </c>
      <c r="B799" s="4">
        <v>0</v>
      </c>
      <c r="C799" s="4" t="s">
        <v>47</v>
      </c>
      <c r="D799" s="4" t="s">
        <v>7</v>
      </c>
    </row>
    <row r="800" spans="1:4" x14ac:dyDescent="0.25">
      <c r="A800" s="4">
        <v>20</v>
      </c>
      <c r="B800" s="4">
        <v>0</v>
      </c>
      <c r="C800" s="4" t="s">
        <v>48</v>
      </c>
      <c r="D800" s="4" t="s">
        <v>7</v>
      </c>
    </row>
    <row r="801" spans="1:4" x14ac:dyDescent="0.25">
      <c r="A801" s="4">
        <v>20</v>
      </c>
      <c r="B801" s="4">
        <v>0</v>
      </c>
      <c r="C801" s="4" t="s">
        <v>49</v>
      </c>
      <c r="D801" s="4" t="s">
        <v>7</v>
      </c>
    </row>
    <row r="802" spans="1:4" x14ac:dyDescent="0.25">
      <c r="A802" s="4">
        <v>21</v>
      </c>
      <c r="B802" s="4">
        <v>0</v>
      </c>
      <c r="C802" s="4" t="s">
        <v>40</v>
      </c>
      <c r="D802" s="4" t="s">
        <v>4</v>
      </c>
    </row>
    <row r="803" spans="1:4" x14ac:dyDescent="0.25">
      <c r="A803" s="4">
        <v>21</v>
      </c>
      <c r="B803" s="4">
        <v>0</v>
      </c>
      <c r="C803" s="4" t="s">
        <v>41</v>
      </c>
      <c r="D803" s="4" t="s">
        <v>4</v>
      </c>
    </row>
    <row r="804" spans="1:4" x14ac:dyDescent="0.25">
      <c r="A804" s="4">
        <v>21</v>
      </c>
      <c r="B804" s="4">
        <v>0</v>
      </c>
      <c r="C804" s="4" t="s">
        <v>42</v>
      </c>
      <c r="D804" s="4" t="s">
        <v>4</v>
      </c>
    </row>
    <row r="805" spans="1:4" x14ac:dyDescent="0.25">
      <c r="A805" s="4">
        <v>21</v>
      </c>
      <c r="B805" s="4">
        <v>1</v>
      </c>
      <c r="C805" s="4" t="s">
        <v>43</v>
      </c>
      <c r="D805" s="4" t="s">
        <v>4</v>
      </c>
    </row>
    <row r="806" spans="1:4" x14ac:dyDescent="0.25">
      <c r="A806" s="4">
        <v>21</v>
      </c>
      <c r="B806" s="4">
        <v>0</v>
      </c>
      <c r="C806" s="4" t="s">
        <v>44</v>
      </c>
      <c r="D806" s="4" t="s">
        <v>4</v>
      </c>
    </row>
    <row r="807" spans="1:4" x14ac:dyDescent="0.25">
      <c r="A807" s="4">
        <v>21</v>
      </c>
      <c r="B807" s="4">
        <v>1</v>
      </c>
      <c r="C807" s="4" t="s">
        <v>45</v>
      </c>
      <c r="D807" s="4" t="s">
        <v>4</v>
      </c>
    </row>
    <row r="808" spans="1:4" x14ac:dyDescent="0.25">
      <c r="A808" s="4">
        <v>21</v>
      </c>
      <c r="B808" s="4">
        <v>0</v>
      </c>
      <c r="C808" s="4" t="s">
        <v>46</v>
      </c>
      <c r="D808" s="4" t="s">
        <v>4</v>
      </c>
    </row>
    <row r="809" spans="1:4" x14ac:dyDescent="0.25">
      <c r="A809" s="4">
        <v>21</v>
      </c>
      <c r="B809" s="4">
        <v>0</v>
      </c>
      <c r="C809" s="4" t="s">
        <v>47</v>
      </c>
      <c r="D809" s="4" t="s">
        <v>4</v>
      </c>
    </row>
    <row r="810" spans="1:4" x14ac:dyDescent="0.25">
      <c r="A810" s="4">
        <v>21</v>
      </c>
      <c r="B810" s="4">
        <v>0</v>
      </c>
      <c r="C810" s="4" t="s">
        <v>48</v>
      </c>
      <c r="D810" s="4" t="s">
        <v>4</v>
      </c>
    </row>
    <row r="811" spans="1:4" x14ac:dyDescent="0.25">
      <c r="A811" s="4">
        <v>21</v>
      </c>
      <c r="B811" s="4">
        <v>0</v>
      </c>
      <c r="C811" s="4" t="s">
        <v>49</v>
      </c>
      <c r="D811" s="4" t="s">
        <v>4</v>
      </c>
    </row>
    <row r="812" spans="1:4" x14ac:dyDescent="0.25">
      <c r="A812" s="4">
        <v>21</v>
      </c>
      <c r="B812" s="4">
        <v>1</v>
      </c>
      <c r="C812" s="4" t="s">
        <v>40</v>
      </c>
      <c r="D812" s="4" t="s">
        <v>5</v>
      </c>
    </row>
    <row r="813" spans="1:4" x14ac:dyDescent="0.25">
      <c r="A813" s="4">
        <v>21</v>
      </c>
      <c r="B813" s="4">
        <v>0</v>
      </c>
      <c r="C813" s="4" t="s">
        <v>41</v>
      </c>
      <c r="D813" s="4" t="s">
        <v>5</v>
      </c>
    </row>
    <row r="814" spans="1:4" x14ac:dyDescent="0.25">
      <c r="A814" s="4">
        <v>21</v>
      </c>
      <c r="B814" s="4">
        <v>1</v>
      </c>
      <c r="C814" s="4" t="s">
        <v>42</v>
      </c>
      <c r="D814" s="4" t="s">
        <v>5</v>
      </c>
    </row>
    <row r="815" spans="1:4" x14ac:dyDescent="0.25">
      <c r="A815" s="4">
        <v>21</v>
      </c>
      <c r="B815" s="4">
        <v>0</v>
      </c>
      <c r="C815" s="4" t="s">
        <v>43</v>
      </c>
      <c r="D815" s="4" t="s">
        <v>5</v>
      </c>
    </row>
    <row r="816" spans="1:4" x14ac:dyDescent="0.25">
      <c r="A816" s="4">
        <v>21</v>
      </c>
      <c r="B816" s="4">
        <v>1</v>
      </c>
      <c r="C816" s="4" t="s">
        <v>44</v>
      </c>
      <c r="D816" s="4" t="s">
        <v>5</v>
      </c>
    </row>
    <row r="817" spans="1:4" x14ac:dyDescent="0.25">
      <c r="A817" s="4">
        <v>21</v>
      </c>
      <c r="B817" s="4">
        <v>0</v>
      </c>
      <c r="C817" s="4" t="s">
        <v>45</v>
      </c>
      <c r="D817" s="4" t="s">
        <v>5</v>
      </c>
    </row>
    <row r="818" spans="1:4" x14ac:dyDescent="0.25">
      <c r="A818" s="4">
        <v>21</v>
      </c>
      <c r="B818" s="4">
        <v>0</v>
      </c>
      <c r="C818" s="4" t="s">
        <v>46</v>
      </c>
      <c r="D818" s="4" t="s">
        <v>5</v>
      </c>
    </row>
    <row r="819" spans="1:4" x14ac:dyDescent="0.25">
      <c r="A819" s="4">
        <v>21</v>
      </c>
      <c r="B819" s="4">
        <v>1</v>
      </c>
      <c r="C819" s="4" t="s">
        <v>47</v>
      </c>
      <c r="D819" s="4" t="s">
        <v>5</v>
      </c>
    </row>
    <row r="820" spans="1:4" x14ac:dyDescent="0.25">
      <c r="A820" s="4">
        <v>21</v>
      </c>
      <c r="B820" s="4">
        <v>1</v>
      </c>
      <c r="C820" s="4" t="s">
        <v>48</v>
      </c>
      <c r="D820" s="4" t="s">
        <v>5</v>
      </c>
    </row>
    <row r="821" spans="1:4" x14ac:dyDescent="0.25">
      <c r="A821" s="4">
        <v>21</v>
      </c>
      <c r="B821" s="4">
        <v>0</v>
      </c>
      <c r="C821" s="4" t="s">
        <v>49</v>
      </c>
      <c r="D821" s="4" t="s">
        <v>5</v>
      </c>
    </row>
    <row r="822" spans="1:4" x14ac:dyDescent="0.25">
      <c r="A822" s="4">
        <v>21</v>
      </c>
      <c r="B822" s="4">
        <v>0</v>
      </c>
      <c r="C822" s="4" t="s">
        <v>40</v>
      </c>
      <c r="D822" s="4" t="s">
        <v>6</v>
      </c>
    </row>
    <row r="823" spans="1:4" x14ac:dyDescent="0.25">
      <c r="A823" s="4">
        <v>21</v>
      </c>
      <c r="B823" s="4">
        <v>1</v>
      </c>
      <c r="C823" s="4" t="s">
        <v>41</v>
      </c>
      <c r="D823" s="4" t="s">
        <v>6</v>
      </c>
    </row>
    <row r="824" spans="1:4" x14ac:dyDescent="0.25">
      <c r="A824" s="4">
        <v>21</v>
      </c>
      <c r="B824" s="4">
        <v>0</v>
      </c>
      <c r="C824" s="4" t="s">
        <v>42</v>
      </c>
      <c r="D824" s="4" t="s">
        <v>6</v>
      </c>
    </row>
    <row r="825" spans="1:4" x14ac:dyDescent="0.25">
      <c r="A825" s="4">
        <v>21</v>
      </c>
      <c r="B825" s="4">
        <v>0</v>
      </c>
      <c r="C825" s="4" t="s">
        <v>43</v>
      </c>
      <c r="D825" s="4" t="s">
        <v>6</v>
      </c>
    </row>
    <row r="826" spans="1:4" x14ac:dyDescent="0.25">
      <c r="A826" s="4">
        <v>21</v>
      </c>
      <c r="B826" s="4">
        <v>0</v>
      </c>
      <c r="C826" s="4" t="s">
        <v>44</v>
      </c>
      <c r="D826" s="4" t="s">
        <v>6</v>
      </c>
    </row>
    <row r="827" spans="1:4" x14ac:dyDescent="0.25">
      <c r="A827" s="4">
        <v>21</v>
      </c>
      <c r="B827" s="4">
        <v>0</v>
      </c>
      <c r="C827" s="4" t="s">
        <v>45</v>
      </c>
      <c r="D827" s="4" t="s">
        <v>6</v>
      </c>
    </row>
    <row r="828" spans="1:4" x14ac:dyDescent="0.25">
      <c r="A828" s="4">
        <v>21</v>
      </c>
      <c r="B828" s="4">
        <v>0</v>
      </c>
      <c r="C828" s="4" t="s">
        <v>46</v>
      </c>
      <c r="D828" s="4" t="s">
        <v>6</v>
      </c>
    </row>
    <row r="829" spans="1:4" x14ac:dyDescent="0.25">
      <c r="A829" s="4">
        <v>21</v>
      </c>
      <c r="B829" s="4">
        <v>0</v>
      </c>
      <c r="C829" s="4" t="s">
        <v>47</v>
      </c>
      <c r="D829" s="4" t="s">
        <v>6</v>
      </c>
    </row>
    <row r="830" spans="1:4" x14ac:dyDescent="0.25">
      <c r="A830" s="4">
        <v>21</v>
      </c>
      <c r="B830" s="4">
        <v>0</v>
      </c>
      <c r="C830" s="4" t="s">
        <v>48</v>
      </c>
      <c r="D830" s="4" t="s">
        <v>6</v>
      </c>
    </row>
    <row r="831" spans="1:4" x14ac:dyDescent="0.25">
      <c r="A831" s="4">
        <v>21</v>
      </c>
      <c r="B831" s="4">
        <v>1</v>
      </c>
      <c r="C831" s="4" t="s">
        <v>49</v>
      </c>
      <c r="D831" s="4" t="s">
        <v>6</v>
      </c>
    </row>
    <row r="832" spans="1:4" x14ac:dyDescent="0.25">
      <c r="A832" s="4">
        <v>21</v>
      </c>
      <c r="B832" s="4">
        <v>0</v>
      </c>
      <c r="C832" s="4" t="s">
        <v>40</v>
      </c>
      <c r="D832" s="4" t="s">
        <v>7</v>
      </c>
    </row>
    <row r="833" spans="1:4" x14ac:dyDescent="0.25">
      <c r="A833" s="4">
        <v>21</v>
      </c>
      <c r="B833" s="4">
        <v>0</v>
      </c>
      <c r="C833" s="4" t="s">
        <v>41</v>
      </c>
      <c r="D833" s="4" t="s">
        <v>7</v>
      </c>
    </row>
    <row r="834" spans="1:4" x14ac:dyDescent="0.25">
      <c r="A834" s="4">
        <v>21</v>
      </c>
      <c r="B834" s="4">
        <v>0</v>
      </c>
      <c r="C834" s="4" t="s">
        <v>42</v>
      </c>
      <c r="D834" s="4" t="s">
        <v>7</v>
      </c>
    </row>
    <row r="835" spans="1:4" x14ac:dyDescent="0.25">
      <c r="A835" s="4">
        <v>21</v>
      </c>
      <c r="B835" s="4">
        <v>0</v>
      </c>
      <c r="C835" s="4" t="s">
        <v>43</v>
      </c>
      <c r="D835" s="4" t="s">
        <v>7</v>
      </c>
    </row>
    <row r="836" spans="1:4" x14ac:dyDescent="0.25">
      <c r="A836" s="4">
        <v>21</v>
      </c>
      <c r="B836" s="4">
        <v>0</v>
      </c>
      <c r="C836" s="4" t="s">
        <v>44</v>
      </c>
      <c r="D836" s="4" t="s">
        <v>7</v>
      </c>
    </row>
    <row r="837" spans="1:4" x14ac:dyDescent="0.25">
      <c r="A837" s="4">
        <v>21</v>
      </c>
      <c r="B837" s="4">
        <v>0</v>
      </c>
      <c r="C837" s="4" t="s">
        <v>45</v>
      </c>
      <c r="D837" s="4" t="s">
        <v>7</v>
      </c>
    </row>
    <row r="838" spans="1:4" x14ac:dyDescent="0.25">
      <c r="A838" s="4">
        <v>21</v>
      </c>
      <c r="B838" s="4">
        <v>1</v>
      </c>
      <c r="C838" s="4" t="s">
        <v>46</v>
      </c>
      <c r="D838" s="4" t="s">
        <v>7</v>
      </c>
    </row>
    <row r="839" spans="1:4" x14ac:dyDescent="0.25">
      <c r="A839" s="4">
        <v>21</v>
      </c>
      <c r="B839" s="4">
        <v>0</v>
      </c>
      <c r="C839" s="4" t="s">
        <v>47</v>
      </c>
      <c r="D839" s="4" t="s">
        <v>7</v>
      </c>
    </row>
    <row r="840" spans="1:4" x14ac:dyDescent="0.25">
      <c r="A840" s="4">
        <v>21</v>
      </c>
      <c r="B840" s="4">
        <v>0</v>
      </c>
      <c r="C840" s="4" t="s">
        <v>48</v>
      </c>
      <c r="D840" s="4" t="s">
        <v>7</v>
      </c>
    </row>
    <row r="841" spans="1:4" x14ac:dyDescent="0.25">
      <c r="A841" s="4">
        <v>21</v>
      </c>
      <c r="B841" s="4">
        <v>0</v>
      </c>
      <c r="C841" s="4" t="s">
        <v>49</v>
      </c>
      <c r="D841" s="4" t="s">
        <v>7</v>
      </c>
    </row>
    <row r="842" spans="1:4" x14ac:dyDescent="0.25">
      <c r="A842" s="4">
        <v>22</v>
      </c>
      <c r="B842" s="4">
        <v>0</v>
      </c>
      <c r="C842" s="4" t="s">
        <v>40</v>
      </c>
      <c r="D842" s="4" t="s">
        <v>4</v>
      </c>
    </row>
    <row r="843" spans="1:4" x14ac:dyDescent="0.25">
      <c r="A843" s="4">
        <v>22</v>
      </c>
      <c r="B843" s="4">
        <v>0</v>
      </c>
      <c r="C843" s="4" t="s">
        <v>41</v>
      </c>
      <c r="D843" s="4" t="s">
        <v>4</v>
      </c>
    </row>
    <row r="844" spans="1:4" x14ac:dyDescent="0.25">
      <c r="A844" s="4">
        <v>22</v>
      </c>
      <c r="B844" s="4">
        <v>0</v>
      </c>
      <c r="C844" s="4" t="s">
        <v>42</v>
      </c>
      <c r="D844" s="4" t="s">
        <v>4</v>
      </c>
    </row>
    <row r="845" spans="1:4" x14ac:dyDescent="0.25">
      <c r="A845" s="4">
        <v>22</v>
      </c>
      <c r="B845" s="4">
        <v>1</v>
      </c>
      <c r="C845" s="4" t="s">
        <v>43</v>
      </c>
      <c r="D845" s="4" t="s">
        <v>4</v>
      </c>
    </row>
    <row r="846" spans="1:4" x14ac:dyDescent="0.25">
      <c r="A846" s="4">
        <v>22</v>
      </c>
      <c r="B846" s="4">
        <v>0</v>
      </c>
      <c r="C846" s="4" t="s">
        <v>44</v>
      </c>
      <c r="D846" s="4" t="s">
        <v>4</v>
      </c>
    </row>
    <row r="847" spans="1:4" x14ac:dyDescent="0.25">
      <c r="A847" s="4">
        <v>22</v>
      </c>
      <c r="B847" s="4">
        <v>1</v>
      </c>
      <c r="C847" s="4" t="s">
        <v>45</v>
      </c>
      <c r="D847" s="4" t="s">
        <v>4</v>
      </c>
    </row>
    <row r="848" spans="1:4" x14ac:dyDescent="0.25">
      <c r="A848" s="4">
        <v>22</v>
      </c>
      <c r="B848" s="4">
        <v>0</v>
      </c>
      <c r="C848" s="4" t="s">
        <v>46</v>
      </c>
      <c r="D848" s="4" t="s">
        <v>4</v>
      </c>
    </row>
    <row r="849" spans="1:4" x14ac:dyDescent="0.25">
      <c r="A849" s="4">
        <v>22</v>
      </c>
      <c r="B849" s="4">
        <v>0</v>
      </c>
      <c r="C849" s="4" t="s">
        <v>47</v>
      </c>
      <c r="D849" s="4" t="s">
        <v>4</v>
      </c>
    </row>
    <row r="850" spans="1:4" x14ac:dyDescent="0.25">
      <c r="A850" s="4">
        <v>22</v>
      </c>
      <c r="B850" s="4">
        <v>0</v>
      </c>
      <c r="C850" s="4" t="s">
        <v>48</v>
      </c>
      <c r="D850" s="4" t="s">
        <v>4</v>
      </c>
    </row>
    <row r="851" spans="1:4" x14ac:dyDescent="0.25">
      <c r="A851" s="4">
        <v>22</v>
      </c>
      <c r="B851" s="4">
        <v>0</v>
      </c>
      <c r="C851" s="4" t="s">
        <v>49</v>
      </c>
      <c r="D851" s="4" t="s">
        <v>4</v>
      </c>
    </row>
    <row r="852" spans="1:4" x14ac:dyDescent="0.25">
      <c r="A852" s="4">
        <v>22</v>
      </c>
      <c r="B852" s="4">
        <v>0</v>
      </c>
      <c r="C852" s="4" t="s">
        <v>40</v>
      </c>
      <c r="D852" s="4" t="s">
        <v>5</v>
      </c>
    </row>
    <row r="853" spans="1:4" x14ac:dyDescent="0.25">
      <c r="A853" s="4">
        <v>22</v>
      </c>
      <c r="B853" s="4">
        <v>0</v>
      </c>
      <c r="C853" s="4" t="s">
        <v>41</v>
      </c>
      <c r="D853" s="4" t="s">
        <v>5</v>
      </c>
    </row>
    <row r="854" spans="1:4" x14ac:dyDescent="0.25">
      <c r="A854" s="4">
        <v>22</v>
      </c>
      <c r="B854" s="4">
        <v>1</v>
      </c>
      <c r="C854" s="4" t="s">
        <v>42</v>
      </c>
      <c r="D854" s="4" t="s">
        <v>5</v>
      </c>
    </row>
    <row r="855" spans="1:4" x14ac:dyDescent="0.25">
      <c r="A855" s="4">
        <v>22</v>
      </c>
      <c r="B855" s="4">
        <v>0</v>
      </c>
      <c r="C855" s="4" t="s">
        <v>43</v>
      </c>
      <c r="D855" s="4" t="s">
        <v>5</v>
      </c>
    </row>
    <row r="856" spans="1:4" x14ac:dyDescent="0.25">
      <c r="A856" s="4">
        <v>22</v>
      </c>
      <c r="B856" s="4">
        <v>1</v>
      </c>
      <c r="C856" s="4" t="s">
        <v>44</v>
      </c>
      <c r="D856" s="4" t="s">
        <v>5</v>
      </c>
    </row>
    <row r="857" spans="1:4" x14ac:dyDescent="0.25">
      <c r="A857" s="4">
        <v>22</v>
      </c>
      <c r="B857" s="4">
        <v>0</v>
      </c>
      <c r="C857" s="4" t="s">
        <v>45</v>
      </c>
      <c r="D857" s="4" t="s">
        <v>5</v>
      </c>
    </row>
    <row r="858" spans="1:4" x14ac:dyDescent="0.25">
      <c r="A858" s="4">
        <v>22</v>
      </c>
      <c r="B858" s="4">
        <v>0</v>
      </c>
      <c r="C858" s="4" t="s">
        <v>46</v>
      </c>
      <c r="D858" s="4" t="s">
        <v>5</v>
      </c>
    </row>
    <row r="859" spans="1:4" x14ac:dyDescent="0.25">
      <c r="A859" s="4">
        <v>22</v>
      </c>
      <c r="B859" s="4">
        <v>1</v>
      </c>
      <c r="C859" s="4" t="s">
        <v>47</v>
      </c>
      <c r="D859" s="4" t="s">
        <v>5</v>
      </c>
    </row>
    <row r="860" spans="1:4" x14ac:dyDescent="0.25">
      <c r="A860" s="4">
        <v>22</v>
      </c>
      <c r="B860" s="4">
        <v>0</v>
      </c>
      <c r="C860" s="4" t="s">
        <v>48</v>
      </c>
      <c r="D860" s="4" t="s">
        <v>5</v>
      </c>
    </row>
    <row r="861" spans="1:4" x14ac:dyDescent="0.25">
      <c r="A861" s="4">
        <v>22</v>
      </c>
      <c r="B861" s="4">
        <v>1</v>
      </c>
      <c r="C861" s="4" t="s">
        <v>49</v>
      </c>
      <c r="D861" s="4" t="s">
        <v>5</v>
      </c>
    </row>
    <row r="862" spans="1:4" x14ac:dyDescent="0.25">
      <c r="A862" s="4">
        <v>22</v>
      </c>
      <c r="B862" s="4">
        <v>1</v>
      </c>
      <c r="C862" s="4" t="s">
        <v>40</v>
      </c>
      <c r="D862" s="4" t="s">
        <v>6</v>
      </c>
    </row>
    <row r="863" spans="1:4" x14ac:dyDescent="0.25">
      <c r="A863" s="4">
        <v>22</v>
      </c>
      <c r="B863" s="4">
        <v>1</v>
      </c>
      <c r="C863" s="4" t="s">
        <v>41</v>
      </c>
      <c r="D863" s="4" t="s">
        <v>6</v>
      </c>
    </row>
    <row r="864" spans="1:4" x14ac:dyDescent="0.25">
      <c r="A864" s="4">
        <v>22</v>
      </c>
      <c r="B864" s="4">
        <v>0</v>
      </c>
      <c r="C864" s="4" t="s">
        <v>42</v>
      </c>
      <c r="D864" s="4" t="s">
        <v>6</v>
      </c>
    </row>
    <row r="865" spans="1:4" x14ac:dyDescent="0.25">
      <c r="A865" s="4">
        <v>22</v>
      </c>
      <c r="B865" s="4">
        <v>0</v>
      </c>
      <c r="C865" s="4" t="s">
        <v>43</v>
      </c>
      <c r="D865" s="4" t="s">
        <v>6</v>
      </c>
    </row>
    <row r="866" spans="1:4" x14ac:dyDescent="0.25">
      <c r="A866" s="4">
        <v>22</v>
      </c>
      <c r="B866" s="4">
        <v>0</v>
      </c>
      <c r="C866" s="4" t="s">
        <v>44</v>
      </c>
      <c r="D866" s="4" t="s">
        <v>6</v>
      </c>
    </row>
    <row r="867" spans="1:4" x14ac:dyDescent="0.25">
      <c r="A867" s="4">
        <v>22</v>
      </c>
      <c r="B867" s="4">
        <v>0</v>
      </c>
      <c r="C867" s="4" t="s">
        <v>45</v>
      </c>
      <c r="D867" s="4" t="s">
        <v>6</v>
      </c>
    </row>
    <row r="868" spans="1:4" x14ac:dyDescent="0.25">
      <c r="A868" s="4">
        <v>22</v>
      </c>
      <c r="B868" s="4">
        <v>0</v>
      </c>
      <c r="C868" s="4" t="s">
        <v>46</v>
      </c>
      <c r="D868" s="4" t="s">
        <v>6</v>
      </c>
    </row>
    <row r="869" spans="1:4" x14ac:dyDescent="0.25">
      <c r="A869" s="4">
        <v>22</v>
      </c>
      <c r="B869" s="4">
        <v>0</v>
      </c>
      <c r="C869" s="4" t="s">
        <v>47</v>
      </c>
      <c r="D869" s="4" t="s">
        <v>6</v>
      </c>
    </row>
    <row r="870" spans="1:4" x14ac:dyDescent="0.25">
      <c r="A870" s="4">
        <v>22</v>
      </c>
      <c r="B870" s="4">
        <v>1</v>
      </c>
      <c r="C870" s="4" t="s">
        <v>48</v>
      </c>
      <c r="D870" s="4" t="s">
        <v>6</v>
      </c>
    </row>
    <row r="871" spans="1:4" x14ac:dyDescent="0.25">
      <c r="A871" s="4">
        <v>22</v>
      </c>
      <c r="B871" s="4">
        <v>0</v>
      </c>
      <c r="C871" s="4" t="s">
        <v>49</v>
      </c>
      <c r="D871" s="4" t="s">
        <v>6</v>
      </c>
    </row>
    <row r="872" spans="1:4" x14ac:dyDescent="0.25">
      <c r="A872" s="4">
        <v>22</v>
      </c>
      <c r="B872" s="4">
        <v>0</v>
      </c>
      <c r="C872" s="4" t="s">
        <v>40</v>
      </c>
      <c r="D872" s="4" t="s">
        <v>7</v>
      </c>
    </row>
    <row r="873" spans="1:4" x14ac:dyDescent="0.25">
      <c r="A873" s="4">
        <v>22</v>
      </c>
      <c r="B873" s="4">
        <v>0</v>
      </c>
      <c r="C873" s="4" t="s">
        <v>41</v>
      </c>
      <c r="D873" s="4" t="s">
        <v>7</v>
      </c>
    </row>
    <row r="874" spans="1:4" x14ac:dyDescent="0.25">
      <c r="A874" s="4">
        <v>22</v>
      </c>
      <c r="B874" s="4">
        <v>0</v>
      </c>
      <c r="C874" s="4" t="s">
        <v>42</v>
      </c>
      <c r="D874" s="4" t="s">
        <v>7</v>
      </c>
    </row>
    <row r="875" spans="1:4" x14ac:dyDescent="0.25">
      <c r="A875" s="4">
        <v>22</v>
      </c>
      <c r="B875" s="4">
        <v>0</v>
      </c>
      <c r="C875" s="4" t="s">
        <v>43</v>
      </c>
      <c r="D875" s="4" t="s">
        <v>7</v>
      </c>
    </row>
    <row r="876" spans="1:4" x14ac:dyDescent="0.25">
      <c r="A876" s="4">
        <v>22</v>
      </c>
      <c r="B876" s="4">
        <v>0</v>
      </c>
      <c r="C876" s="4" t="s">
        <v>44</v>
      </c>
      <c r="D876" s="4" t="s">
        <v>7</v>
      </c>
    </row>
    <row r="877" spans="1:4" x14ac:dyDescent="0.25">
      <c r="A877" s="4">
        <v>22</v>
      </c>
      <c r="B877" s="4">
        <v>0</v>
      </c>
      <c r="C877" s="4" t="s">
        <v>45</v>
      </c>
      <c r="D877" s="4" t="s">
        <v>7</v>
      </c>
    </row>
    <row r="878" spans="1:4" x14ac:dyDescent="0.25">
      <c r="A878" s="4">
        <v>22</v>
      </c>
      <c r="B878" s="4">
        <v>1</v>
      </c>
      <c r="C878" s="4" t="s">
        <v>46</v>
      </c>
      <c r="D878" s="4" t="s">
        <v>7</v>
      </c>
    </row>
    <row r="879" spans="1:4" x14ac:dyDescent="0.25">
      <c r="A879" s="4">
        <v>22</v>
      </c>
      <c r="B879" s="4">
        <v>0</v>
      </c>
      <c r="C879" s="4" t="s">
        <v>47</v>
      </c>
      <c r="D879" s="4" t="s">
        <v>7</v>
      </c>
    </row>
    <row r="880" spans="1:4" x14ac:dyDescent="0.25">
      <c r="A880" s="4">
        <v>22</v>
      </c>
      <c r="B880" s="4">
        <v>0</v>
      </c>
      <c r="C880" s="4" t="s">
        <v>48</v>
      </c>
      <c r="D880" s="4" t="s">
        <v>7</v>
      </c>
    </row>
    <row r="881" spans="1:4" x14ac:dyDescent="0.25">
      <c r="A881" s="4">
        <v>22</v>
      </c>
      <c r="B881" s="4">
        <v>0</v>
      </c>
      <c r="C881" s="4" t="s">
        <v>49</v>
      </c>
      <c r="D881" s="4" t="s">
        <v>7</v>
      </c>
    </row>
    <row r="882" spans="1:4" x14ac:dyDescent="0.25">
      <c r="A882" s="4">
        <v>23</v>
      </c>
      <c r="B882" s="4">
        <v>0</v>
      </c>
      <c r="C882" s="4" t="s">
        <v>40</v>
      </c>
      <c r="D882" s="4" t="s">
        <v>4</v>
      </c>
    </row>
    <row r="883" spans="1:4" x14ac:dyDescent="0.25">
      <c r="A883" s="4">
        <v>23</v>
      </c>
      <c r="B883" s="4">
        <v>0</v>
      </c>
      <c r="C883" s="4" t="s">
        <v>41</v>
      </c>
      <c r="D883" s="4" t="s">
        <v>4</v>
      </c>
    </row>
    <row r="884" spans="1:4" x14ac:dyDescent="0.25">
      <c r="A884" s="4">
        <v>23</v>
      </c>
      <c r="B884" s="4">
        <v>1</v>
      </c>
      <c r="C884" s="4" t="s">
        <v>42</v>
      </c>
      <c r="D884" s="4" t="s">
        <v>4</v>
      </c>
    </row>
    <row r="885" spans="1:4" x14ac:dyDescent="0.25">
      <c r="A885" s="4">
        <v>23</v>
      </c>
      <c r="B885" s="4">
        <v>0</v>
      </c>
      <c r="C885" s="4" t="s">
        <v>43</v>
      </c>
      <c r="D885" s="4" t="s">
        <v>4</v>
      </c>
    </row>
    <row r="886" spans="1:4" x14ac:dyDescent="0.25">
      <c r="A886" s="4">
        <v>23</v>
      </c>
      <c r="B886" s="4">
        <v>1</v>
      </c>
      <c r="C886" s="4" t="s">
        <v>44</v>
      </c>
      <c r="D886" s="4" t="s">
        <v>4</v>
      </c>
    </row>
    <row r="887" spans="1:4" x14ac:dyDescent="0.25">
      <c r="A887" s="4">
        <v>23</v>
      </c>
      <c r="B887" s="4">
        <v>0</v>
      </c>
      <c r="C887" s="4" t="s">
        <v>45</v>
      </c>
      <c r="D887" s="4" t="s">
        <v>4</v>
      </c>
    </row>
    <row r="888" spans="1:4" x14ac:dyDescent="0.25">
      <c r="A888" s="4">
        <v>23</v>
      </c>
      <c r="B888" s="4">
        <v>0</v>
      </c>
      <c r="C888" s="4" t="s">
        <v>46</v>
      </c>
      <c r="D888" s="4" t="s">
        <v>4</v>
      </c>
    </row>
    <row r="889" spans="1:4" x14ac:dyDescent="0.25">
      <c r="A889" s="4">
        <v>23</v>
      </c>
      <c r="B889" s="4">
        <v>0</v>
      </c>
      <c r="C889" s="4" t="s">
        <v>47</v>
      </c>
      <c r="D889" s="4" t="s">
        <v>4</v>
      </c>
    </row>
    <row r="890" spans="1:4" x14ac:dyDescent="0.25">
      <c r="A890" s="4">
        <v>23</v>
      </c>
      <c r="B890" s="4">
        <v>0</v>
      </c>
      <c r="C890" s="4" t="s">
        <v>48</v>
      </c>
      <c r="D890" s="4" t="s">
        <v>4</v>
      </c>
    </row>
    <row r="891" spans="1:4" x14ac:dyDescent="0.25">
      <c r="A891" s="4">
        <v>23</v>
      </c>
      <c r="B891" s="4">
        <v>0</v>
      </c>
      <c r="C891" s="4" t="s">
        <v>49</v>
      </c>
      <c r="D891" s="4" t="s">
        <v>4</v>
      </c>
    </row>
    <row r="892" spans="1:4" x14ac:dyDescent="0.25">
      <c r="A892" s="4">
        <v>23</v>
      </c>
      <c r="B892" s="4">
        <v>1</v>
      </c>
      <c r="C892" s="4" t="s">
        <v>40</v>
      </c>
      <c r="D892" s="4" t="s">
        <v>5</v>
      </c>
    </row>
    <row r="893" spans="1:4" x14ac:dyDescent="0.25">
      <c r="A893" s="4">
        <v>23</v>
      </c>
      <c r="B893" s="4">
        <v>0</v>
      </c>
      <c r="C893" s="4" t="s">
        <v>41</v>
      </c>
      <c r="D893" s="4" t="s">
        <v>5</v>
      </c>
    </row>
    <row r="894" spans="1:4" x14ac:dyDescent="0.25">
      <c r="A894" s="4">
        <v>23</v>
      </c>
      <c r="B894" s="4">
        <v>0</v>
      </c>
      <c r="C894" s="4" t="s">
        <v>42</v>
      </c>
      <c r="D894" s="4" t="s">
        <v>5</v>
      </c>
    </row>
    <row r="895" spans="1:4" x14ac:dyDescent="0.25">
      <c r="A895" s="4">
        <v>23</v>
      </c>
      <c r="B895" s="4">
        <v>0</v>
      </c>
      <c r="C895" s="4" t="s">
        <v>43</v>
      </c>
      <c r="D895" s="4" t="s">
        <v>5</v>
      </c>
    </row>
    <row r="896" spans="1:4" x14ac:dyDescent="0.25">
      <c r="A896" s="4">
        <v>23</v>
      </c>
      <c r="B896" s="4">
        <v>0</v>
      </c>
      <c r="C896" s="4" t="s">
        <v>44</v>
      </c>
      <c r="D896" s="4" t="s">
        <v>5</v>
      </c>
    </row>
    <row r="897" spans="1:4" x14ac:dyDescent="0.25">
      <c r="A897" s="4">
        <v>23</v>
      </c>
      <c r="B897" s="4">
        <v>1</v>
      </c>
      <c r="C897" s="4" t="s">
        <v>45</v>
      </c>
      <c r="D897" s="4" t="s">
        <v>5</v>
      </c>
    </row>
    <row r="898" spans="1:4" x14ac:dyDescent="0.25">
      <c r="A898" s="4">
        <v>23</v>
      </c>
      <c r="B898" s="4">
        <v>0</v>
      </c>
      <c r="C898" s="4" t="s">
        <v>46</v>
      </c>
      <c r="D898" s="4" t="s">
        <v>5</v>
      </c>
    </row>
    <row r="899" spans="1:4" x14ac:dyDescent="0.25">
      <c r="A899" s="4">
        <v>23</v>
      </c>
      <c r="B899" s="4">
        <v>1</v>
      </c>
      <c r="C899" s="4" t="s">
        <v>47</v>
      </c>
      <c r="D899" s="4" t="s">
        <v>5</v>
      </c>
    </row>
    <row r="900" spans="1:4" x14ac:dyDescent="0.25">
      <c r="A900" s="4">
        <v>23</v>
      </c>
      <c r="B900" s="4">
        <v>0</v>
      </c>
      <c r="C900" s="4" t="s">
        <v>48</v>
      </c>
      <c r="D900" s="4" t="s">
        <v>5</v>
      </c>
    </row>
    <row r="901" spans="1:4" x14ac:dyDescent="0.25">
      <c r="A901" s="4">
        <v>23</v>
      </c>
      <c r="B901" s="4">
        <v>1</v>
      </c>
      <c r="C901" s="4" t="s">
        <v>49</v>
      </c>
      <c r="D901" s="4" t="s">
        <v>5</v>
      </c>
    </row>
    <row r="902" spans="1:4" x14ac:dyDescent="0.25">
      <c r="A902" s="4">
        <v>23</v>
      </c>
      <c r="B902" s="4">
        <v>0</v>
      </c>
      <c r="C902" s="4" t="s">
        <v>40</v>
      </c>
      <c r="D902" s="4" t="s">
        <v>6</v>
      </c>
    </row>
    <row r="903" spans="1:4" x14ac:dyDescent="0.25">
      <c r="A903" s="4">
        <v>23</v>
      </c>
      <c r="B903" s="4">
        <v>1</v>
      </c>
      <c r="C903" s="4" t="s">
        <v>41</v>
      </c>
      <c r="D903" s="4" t="s">
        <v>6</v>
      </c>
    </row>
    <row r="904" spans="1:4" x14ac:dyDescent="0.25">
      <c r="A904" s="4">
        <v>23</v>
      </c>
      <c r="B904" s="4">
        <v>0</v>
      </c>
      <c r="C904" s="4" t="s">
        <v>42</v>
      </c>
      <c r="D904" s="4" t="s">
        <v>6</v>
      </c>
    </row>
    <row r="905" spans="1:4" x14ac:dyDescent="0.25">
      <c r="A905" s="4">
        <v>23</v>
      </c>
      <c r="B905" s="4">
        <v>1</v>
      </c>
      <c r="C905" s="4" t="s">
        <v>43</v>
      </c>
      <c r="D905" s="4" t="s">
        <v>6</v>
      </c>
    </row>
    <row r="906" spans="1:4" x14ac:dyDescent="0.25">
      <c r="A906" s="4">
        <v>23</v>
      </c>
      <c r="B906" s="4">
        <v>0</v>
      </c>
      <c r="C906" s="4" t="s">
        <v>44</v>
      </c>
      <c r="D906" s="4" t="s">
        <v>6</v>
      </c>
    </row>
    <row r="907" spans="1:4" x14ac:dyDescent="0.25">
      <c r="A907" s="4">
        <v>23</v>
      </c>
      <c r="B907" s="4">
        <v>0</v>
      </c>
      <c r="C907" s="4" t="s">
        <v>45</v>
      </c>
      <c r="D907" s="4" t="s">
        <v>6</v>
      </c>
    </row>
    <row r="908" spans="1:4" x14ac:dyDescent="0.25">
      <c r="A908" s="4">
        <v>23</v>
      </c>
      <c r="B908" s="4">
        <v>0</v>
      </c>
      <c r="C908" s="4" t="s">
        <v>46</v>
      </c>
      <c r="D908" s="4" t="s">
        <v>6</v>
      </c>
    </row>
    <row r="909" spans="1:4" x14ac:dyDescent="0.25">
      <c r="A909" s="4">
        <v>23</v>
      </c>
      <c r="B909" s="4">
        <v>0</v>
      </c>
      <c r="C909" s="4" t="s">
        <v>47</v>
      </c>
      <c r="D909" s="4" t="s">
        <v>6</v>
      </c>
    </row>
    <row r="910" spans="1:4" x14ac:dyDescent="0.25">
      <c r="A910" s="4">
        <v>23</v>
      </c>
      <c r="B910" s="4">
        <v>1</v>
      </c>
      <c r="C910" s="4" t="s">
        <v>48</v>
      </c>
      <c r="D910" s="4" t="s">
        <v>6</v>
      </c>
    </row>
    <row r="911" spans="1:4" x14ac:dyDescent="0.25">
      <c r="A911" s="4">
        <v>23</v>
      </c>
      <c r="B911" s="4">
        <v>0</v>
      </c>
      <c r="C911" s="4" t="s">
        <v>49</v>
      </c>
      <c r="D911" s="4" t="s">
        <v>6</v>
      </c>
    </row>
    <row r="912" spans="1:4" x14ac:dyDescent="0.25">
      <c r="A912" s="4">
        <v>23</v>
      </c>
      <c r="B912" s="4">
        <v>0</v>
      </c>
      <c r="C912" s="4" t="s">
        <v>40</v>
      </c>
      <c r="D912" s="4" t="s">
        <v>7</v>
      </c>
    </row>
    <row r="913" spans="1:4" x14ac:dyDescent="0.25">
      <c r="A913" s="4">
        <v>23</v>
      </c>
      <c r="B913" s="4">
        <v>0</v>
      </c>
      <c r="C913" s="4" t="s">
        <v>41</v>
      </c>
      <c r="D913" s="4" t="s">
        <v>7</v>
      </c>
    </row>
    <row r="914" spans="1:4" x14ac:dyDescent="0.25">
      <c r="A914" s="4">
        <v>23</v>
      </c>
      <c r="B914" s="4">
        <v>0</v>
      </c>
      <c r="C914" s="4" t="s">
        <v>42</v>
      </c>
      <c r="D914" s="4" t="s">
        <v>7</v>
      </c>
    </row>
    <row r="915" spans="1:4" x14ac:dyDescent="0.25">
      <c r="A915" s="4">
        <v>23</v>
      </c>
      <c r="B915" s="4">
        <v>0</v>
      </c>
      <c r="C915" s="4" t="s">
        <v>43</v>
      </c>
      <c r="D915" s="4" t="s">
        <v>7</v>
      </c>
    </row>
    <row r="916" spans="1:4" x14ac:dyDescent="0.25">
      <c r="A916" s="4">
        <v>23</v>
      </c>
      <c r="B916" s="4">
        <v>0</v>
      </c>
      <c r="C916" s="4" t="s">
        <v>44</v>
      </c>
      <c r="D916" s="4" t="s">
        <v>7</v>
      </c>
    </row>
    <row r="917" spans="1:4" x14ac:dyDescent="0.25">
      <c r="A917" s="4">
        <v>23</v>
      </c>
      <c r="B917" s="4">
        <v>0</v>
      </c>
      <c r="C917" s="4" t="s">
        <v>45</v>
      </c>
      <c r="D917" s="4" t="s">
        <v>7</v>
      </c>
    </row>
    <row r="918" spans="1:4" x14ac:dyDescent="0.25">
      <c r="A918" s="4">
        <v>23</v>
      </c>
      <c r="B918" s="4">
        <v>1</v>
      </c>
      <c r="C918" s="4" t="s">
        <v>46</v>
      </c>
      <c r="D918" s="4" t="s">
        <v>7</v>
      </c>
    </row>
    <row r="919" spans="1:4" x14ac:dyDescent="0.25">
      <c r="A919" s="4">
        <v>23</v>
      </c>
      <c r="B919" s="4">
        <v>0</v>
      </c>
      <c r="C919" s="4" t="s">
        <v>47</v>
      </c>
      <c r="D919" s="4" t="s">
        <v>7</v>
      </c>
    </row>
    <row r="920" spans="1:4" x14ac:dyDescent="0.25">
      <c r="A920" s="4">
        <v>23</v>
      </c>
      <c r="B920" s="4">
        <v>0</v>
      </c>
      <c r="C920" s="4" t="s">
        <v>48</v>
      </c>
      <c r="D920" s="4" t="s">
        <v>7</v>
      </c>
    </row>
    <row r="921" spans="1:4" x14ac:dyDescent="0.25">
      <c r="A921" s="4">
        <v>23</v>
      </c>
      <c r="B921" s="4">
        <v>0</v>
      </c>
      <c r="C921" s="4" t="s">
        <v>49</v>
      </c>
      <c r="D921" s="4" t="s">
        <v>7</v>
      </c>
    </row>
    <row r="922" spans="1:4" x14ac:dyDescent="0.25">
      <c r="A922" s="4">
        <v>24</v>
      </c>
      <c r="B922" s="4">
        <v>0</v>
      </c>
      <c r="C922" s="4" t="s">
        <v>40</v>
      </c>
      <c r="D922" s="4" t="s">
        <v>4</v>
      </c>
    </row>
    <row r="923" spans="1:4" x14ac:dyDescent="0.25">
      <c r="A923" s="4">
        <v>24</v>
      </c>
      <c r="B923" s="4">
        <v>0</v>
      </c>
      <c r="C923" s="4" t="s">
        <v>41</v>
      </c>
      <c r="D923" s="4" t="s">
        <v>4</v>
      </c>
    </row>
    <row r="924" spans="1:4" x14ac:dyDescent="0.25">
      <c r="A924" s="4">
        <v>24</v>
      </c>
      <c r="B924" s="4">
        <v>0</v>
      </c>
      <c r="C924" s="4" t="s">
        <v>42</v>
      </c>
      <c r="D924" s="4" t="s">
        <v>4</v>
      </c>
    </row>
    <row r="925" spans="1:4" x14ac:dyDescent="0.25">
      <c r="A925" s="4">
        <v>24</v>
      </c>
      <c r="B925" s="4">
        <v>0</v>
      </c>
      <c r="C925" s="4" t="s">
        <v>43</v>
      </c>
      <c r="D925" s="4" t="s">
        <v>4</v>
      </c>
    </row>
    <row r="926" spans="1:4" x14ac:dyDescent="0.25">
      <c r="A926" s="4">
        <v>24</v>
      </c>
      <c r="B926" s="4">
        <v>0</v>
      </c>
      <c r="C926" s="4" t="s">
        <v>44</v>
      </c>
      <c r="D926" s="4" t="s">
        <v>4</v>
      </c>
    </row>
    <row r="927" spans="1:4" x14ac:dyDescent="0.25">
      <c r="A927" s="4">
        <v>24</v>
      </c>
      <c r="B927" s="4">
        <v>1</v>
      </c>
      <c r="C927" s="4" t="s">
        <v>45</v>
      </c>
      <c r="D927" s="4" t="s">
        <v>4</v>
      </c>
    </row>
    <row r="928" spans="1:4" x14ac:dyDescent="0.25">
      <c r="A928" s="4">
        <v>24</v>
      </c>
      <c r="B928" s="4">
        <v>0</v>
      </c>
      <c r="C928" s="4" t="s">
        <v>46</v>
      </c>
      <c r="D928" s="4" t="s">
        <v>4</v>
      </c>
    </row>
    <row r="929" spans="1:4" x14ac:dyDescent="0.25">
      <c r="A929" s="4">
        <v>24</v>
      </c>
      <c r="B929" s="4">
        <v>0</v>
      </c>
      <c r="C929" s="4" t="s">
        <v>47</v>
      </c>
      <c r="D929" s="4" t="s">
        <v>4</v>
      </c>
    </row>
    <row r="930" spans="1:4" x14ac:dyDescent="0.25">
      <c r="A930" s="4">
        <v>24</v>
      </c>
      <c r="B930" s="4">
        <v>0</v>
      </c>
      <c r="C930" s="4" t="s">
        <v>48</v>
      </c>
      <c r="D930" s="4" t="s">
        <v>4</v>
      </c>
    </row>
    <row r="931" spans="1:4" x14ac:dyDescent="0.25">
      <c r="A931" s="4">
        <v>24</v>
      </c>
      <c r="B931" s="4">
        <v>1</v>
      </c>
      <c r="C931" s="4" t="s">
        <v>49</v>
      </c>
      <c r="D931" s="4" t="s">
        <v>4</v>
      </c>
    </row>
    <row r="932" spans="1:4" x14ac:dyDescent="0.25">
      <c r="A932" s="4">
        <v>24</v>
      </c>
      <c r="B932" s="4">
        <v>0</v>
      </c>
      <c r="C932" s="4" t="s">
        <v>40</v>
      </c>
      <c r="D932" s="4" t="s">
        <v>5</v>
      </c>
    </row>
    <row r="933" spans="1:4" x14ac:dyDescent="0.25">
      <c r="A933" s="4">
        <v>24</v>
      </c>
      <c r="B933" s="4">
        <v>0</v>
      </c>
      <c r="C933" s="4" t="s">
        <v>41</v>
      </c>
      <c r="D933" s="4" t="s">
        <v>5</v>
      </c>
    </row>
    <row r="934" spans="1:4" x14ac:dyDescent="0.25">
      <c r="A934" s="4">
        <v>24</v>
      </c>
      <c r="B934" s="4">
        <v>1</v>
      </c>
      <c r="C934" s="4" t="s">
        <v>42</v>
      </c>
      <c r="D934" s="4" t="s">
        <v>5</v>
      </c>
    </row>
    <row r="935" spans="1:4" x14ac:dyDescent="0.25">
      <c r="A935" s="4">
        <v>24</v>
      </c>
      <c r="B935" s="4">
        <v>1</v>
      </c>
      <c r="C935" s="4" t="s">
        <v>43</v>
      </c>
      <c r="D935" s="4" t="s">
        <v>5</v>
      </c>
    </row>
    <row r="936" spans="1:4" x14ac:dyDescent="0.25">
      <c r="A936" s="4">
        <v>24</v>
      </c>
      <c r="B936" s="4">
        <v>1</v>
      </c>
      <c r="C936" s="4" t="s">
        <v>44</v>
      </c>
      <c r="D936" s="4" t="s">
        <v>5</v>
      </c>
    </row>
    <row r="937" spans="1:4" x14ac:dyDescent="0.25">
      <c r="A937" s="4">
        <v>24</v>
      </c>
      <c r="B937" s="4">
        <v>0</v>
      </c>
      <c r="C937" s="4" t="s">
        <v>45</v>
      </c>
      <c r="D937" s="4" t="s">
        <v>5</v>
      </c>
    </row>
    <row r="938" spans="1:4" x14ac:dyDescent="0.25">
      <c r="A938" s="4">
        <v>24</v>
      </c>
      <c r="B938" s="4">
        <v>0</v>
      </c>
      <c r="C938" s="4" t="s">
        <v>46</v>
      </c>
      <c r="D938" s="4" t="s">
        <v>5</v>
      </c>
    </row>
    <row r="939" spans="1:4" x14ac:dyDescent="0.25">
      <c r="A939" s="4">
        <v>24</v>
      </c>
      <c r="B939" s="4">
        <v>0</v>
      </c>
      <c r="C939" s="4" t="s">
        <v>47</v>
      </c>
      <c r="D939" s="4" t="s">
        <v>5</v>
      </c>
    </row>
    <row r="940" spans="1:4" x14ac:dyDescent="0.25">
      <c r="A940" s="4">
        <v>24</v>
      </c>
      <c r="B940" s="4">
        <v>1</v>
      </c>
      <c r="C940" s="4" t="s">
        <v>48</v>
      </c>
      <c r="D940" s="4" t="s">
        <v>5</v>
      </c>
    </row>
    <row r="941" spans="1:4" x14ac:dyDescent="0.25">
      <c r="A941" s="4">
        <v>24</v>
      </c>
      <c r="B941" s="4">
        <v>0</v>
      </c>
      <c r="C941" s="4" t="s">
        <v>49</v>
      </c>
      <c r="D941" s="4" t="s">
        <v>5</v>
      </c>
    </row>
    <row r="942" spans="1:4" x14ac:dyDescent="0.25">
      <c r="A942" s="4">
        <v>24</v>
      </c>
      <c r="B942" s="4">
        <v>1</v>
      </c>
      <c r="C942" s="4" t="s">
        <v>40</v>
      </c>
      <c r="D942" s="4" t="s">
        <v>6</v>
      </c>
    </row>
    <row r="943" spans="1:4" x14ac:dyDescent="0.25">
      <c r="A943" s="4">
        <v>24</v>
      </c>
      <c r="B943" s="4">
        <v>1</v>
      </c>
      <c r="C943" s="4" t="s">
        <v>41</v>
      </c>
      <c r="D943" s="4" t="s">
        <v>6</v>
      </c>
    </row>
    <row r="944" spans="1:4" x14ac:dyDescent="0.25">
      <c r="A944" s="4">
        <v>24</v>
      </c>
      <c r="B944" s="4">
        <v>0</v>
      </c>
      <c r="C944" s="4" t="s">
        <v>42</v>
      </c>
      <c r="D944" s="4" t="s">
        <v>6</v>
      </c>
    </row>
    <row r="945" spans="1:4" x14ac:dyDescent="0.25">
      <c r="A945" s="4">
        <v>24</v>
      </c>
      <c r="B945" s="4">
        <v>0</v>
      </c>
      <c r="C945" s="4" t="s">
        <v>43</v>
      </c>
      <c r="D945" s="4" t="s">
        <v>6</v>
      </c>
    </row>
    <row r="946" spans="1:4" x14ac:dyDescent="0.25">
      <c r="A946" s="4">
        <v>24</v>
      </c>
      <c r="B946" s="4">
        <v>0</v>
      </c>
      <c r="C946" s="4" t="s">
        <v>44</v>
      </c>
      <c r="D946" s="4" t="s">
        <v>6</v>
      </c>
    </row>
    <row r="947" spans="1:4" x14ac:dyDescent="0.25">
      <c r="A947" s="4">
        <v>24</v>
      </c>
      <c r="B947" s="4">
        <v>0</v>
      </c>
      <c r="C947" s="4" t="s">
        <v>45</v>
      </c>
      <c r="D947" s="4" t="s">
        <v>6</v>
      </c>
    </row>
    <row r="948" spans="1:4" x14ac:dyDescent="0.25">
      <c r="A948" s="4">
        <v>24</v>
      </c>
      <c r="B948" s="4">
        <v>0</v>
      </c>
      <c r="C948" s="4" t="s">
        <v>46</v>
      </c>
      <c r="D948" s="4" t="s">
        <v>6</v>
      </c>
    </row>
    <row r="949" spans="1:4" x14ac:dyDescent="0.25">
      <c r="A949" s="4">
        <v>24</v>
      </c>
      <c r="B949" s="4">
        <v>1</v>
      </c>
      <c r="C949" s="4" t="s">
        <v>47</v>
      </c>
      <c r="D949" s="4" t="s">
        <v>6</v>
      </c>
    </row>
    <row r="950" spans="1:4" x14ac:dyDescent="0.25">
      <c r="A950" s="4">
        <v>24</v>
      </c>
      <c r="B950" s="4">
        <v>0</v>
      </c>
      <c r="C950" s="4" t="s">
        <v>48</v>
      </c>
      <c r="D950" s="4" t="s">
        <v>6</v>
      </c>
    </row>
    <row r="951" spans="1:4" x14ac:dyDescent="0.25">
      <c r="A951" s="4">
        <v>24</v>
      </c>
      <c r="B951" s="4">
        <v>0</v>
      </c>
      <c r="C951" s="4" t="s">
        <v>49</v>
      </c>
      <c r="D951" s="4" t="s">
        <v>6</v>
      </c>
    </row>
    <row r="952" spans="1:4" x14ac:dyDescent="0.25">
      <c r="A952" s="4">
        <v>24</v>
      </c>
      <c r="B952" s="4">
        <v>0</v>
      </c>
      <c r="C952" s="4" t="s">
        <v>40</v>
      </c>
      <c r="D952" s="4" t="s">
        <v>7</v>
      </c>
    </row>
    <row r="953" spans="1:4" x14ac:dyDescent="0.25">
      <c r="A953" s="4">
        <v>24</v>
      </c>
      <c r="B953" s="4">
        <v>0</v>
      </c>
      <c r="C953" s="4" t="s">
        <v>41</v>
      </c>
      <c r="D953" s="4" t="s">
        <v>7</v>
      </c>
    </row>
    <row r="954" spans="1:4" x14ac:dyDescent="0.25">
      <c r="A954" s="4">
        <v>24</v>
      </c>
      <c r="B954" s="4">
        <v>0</v>
      </c>
      <c r="C954" s="4" t="s">
        <v>42</v>
      </c>
      <c r="D954" s="4" t="s">
        <v>7</v>
      </c>
    </row>
    <row r="955" spans="1:4" x14ac:dyDescent="0.25">
      <c r="A955" s="4">
        <v>24</v>
      </c>
      <c r="B955" s="4">
        <v>0</v>
      </c>
      <c r="C955" s="4" t="s">
        <v>43</v>
      </c>
      <c r="D955" s="4" t="s">
        <v>7</v>
      </c>
    </row>
    <row r="956" spans="1:4" x14ac:dyDescent="0.25">
      <c r="A956" s="4">
        <v>24</v>
      </c>
      <c r="B956" s="4">
        <v>0</v>
      </c>
      <c r="C956" s="4" t="s">
        <v>44</v>
      </c>
      <c r="D956" s="4" t="s">
        <v>7</v>
      </c>
    </row>
    <row r="957" spans="1:4" x14ac:dyDescent="0.25">
      <c r="A957" s="4">
        <v>24</v>
      </c>
      <c r="B957" s="4">
        <v>0</v>
      </c>
      <c r="C957" s="4" t="s">
        <v>45</v>
      </c>
      <c r="D957" s="4" t="s">
        <v>7</v>
      </c>
    </row>
    <row r="958" spans="1:4" x14ac:dyDescent="0.25">
      <c r="A958" s="4">
        <v>24</v>
      </c>
      <c r="B958" s="4">
        <v>1</v>
      </c>
      <c r="C958" s="4" t="s">
        <v>46</v>
      </c>
      <c r="D958" s="4" t="s">
        <v>7</v>
      </c>
    </row>
    <row r="959" spans="1:4" x14ac:dyDescent="0.25">
      <c r="A959" s="4">
        <v>24</v>
      </c>
      <c r="B959" s="4">
        <v>0</v>
      </c>
      <c r="C959" s="4" t="s">
        <v>47</v>
      </c>
      <c r="D959" s="4" t="s">
        <v>7</v>
      </c>
    </row>
    <row r="960" spans="1:4" x14ac:dyDescent="0.25">
      <c r="A960" s="4">
        <v>24</v>
      </c>
      <c r="B960" s="4">
        <v>0</v>
      </c>
      <c r="C960" s="4" t="s">
        <v>48</v>
      </c>
      <c r="D960" s="4" t="s">
        <v>7</v>
      </c>
    </row>
    <row r="961" spans="1:4" x14ac:dyDescent="0.25">
      <c r="A961" s="4">
        <v>24</v>
      </c>
      <c r="B961" s="4">
        <v>0</v>
      </c>
      <c r="C961" s="4" t="s">
        <v>49</v>
      </c>
      <c r="D961" s="4" t="s">
        <v>7</v>
      </c>
    </row>
    <row r="962" spans="1:4" x14ac:dyDescent="0.25">
      <c r="A962" s="4">
        <v>25</v>
      </c>
      <c r="B962" s="4">
        <v>0</v>
      </c>
      <c r="C962" s="4" t="s">
        <v>40</v>
      </c>
      <c r="D962" s="4" t="s">
        <v>4</v>
      </c>
    </row>
    <row r="963" spans="1:4" x14ac:dyDescent="0.25">
      <c r="A963" s="4">
        <v>25</v>
      </c>
      <c r="B963" s="4">
        <v>0</v>
      </c>
      <c r="C963" s="4" t="s">
        <v>41</v>
      </c>
      <c r="D963" s="4" t="s">
        <v>4</v>
      </c>
    </row>
    <row r="964" spans="1:4" x14ac:dyDescent="0.25">
      <c r="A964" s="4">
        <v>25</v>
      </c>
      <c r="B964" s="4">
        <v>0</v>
      </c>
      <c r="C964" s="4" t="s">
        <v>42</v>
      </c>
      <c r="D964" s="4" t="s">
        <v>4</v>
      </c>
    </row>
    <row r="965" spans="1:4" x14ac:dyDescent="0.25">
      <c r="A965" s="4">
        <v>25</v>
      </c>
      <c r="B965" s="4">
        <v>0</v>
      </c>
      <c r="C965" s="4" t="s">
        <v>43</v>
      </c>
      <c r="D965" s="4" t="s">
        <v>4</v>
      </c>
    </row>
    <row r="966" spans="1:4" x14ac:dyDescent="0.25">
      <c r="A966" s="4">
        <v>25</v>
      </c>
      <c r="B966" s="4">
        <v>0</v>
      </c>
      <c r="C966" s="4" t="s">
        <v>44</v>
      </c>
      <c r="D966" s="4" t="s">
        <v>4</v>
      </c>
    </row>
    <row r="967" spans="1:4" x14ac:dyDescent="0.25">
      <c r="A967" s="4">
        <v>25</v>
      </c>
      <c r="B967" s="4">
        <v>1</v>
      </c>
      <c r="C967" s="4" t="s">
        <v>45</v>
      </c>
      <c r="D967" s="4" t="s">
        <v>4</v>
      </c>
    </row>
    <row r="968" spans="1:4" x14ac:dyDescent="0.25">
      <c r="A968" s="4">
        <v>25</v>
      </c>
      <c r="B968" s="4">
        <v>0</v>
      </c>
      <c r="C968" s="4" t="s">
        <v>46</v>
      </c>
      <c r="D968" s="4" t="s">
        <v>4</v>
      </c>
    </row>
    <row r="969" spans="1:4" x14ac:dyDescent="0.25">
      <c r="A969" s="4">
        <v>25</v>
      </c>
      <c r="B969" s="4">
        <v>0</v>
      </c>
      <c r="C969" s="4" t="s">
        <v>47</v>
      </c>
      <c r="D969" s="4" t="s">
        <v>4</v>
      </c>
    </row>
    <row r="970" spans="1:4" x14ac:dyDescent="0.25">
      <c r="A970" s="4">
        <v>25</v>
      </c>
      <c r="B970" s="4">
        <v>1</v>
      </c>
      <c r="C970" s="4" t="s">
        <v>48</v>
      </c>
      <c r="D970" s="4" t="s">
        <v>4</v>
      </c>
    </row>
    <row r="971" spans="1:4" x14ac:dyDescent="0.25">
      <c r="A971" s="4">
        <v>25</v>
      </c>
      <c r="B971" s="4">
        <v>0</v>
      </c>
      <c r="C971" s="4" t="s">
        <v>49</v>
      </c>
      <c r="D971" s="4" t="s">
        <v>4</v>
      </c>
    </row>
    <row r="972" spans="1:4" x14ac:dyDescent="0.25">
      <c r="A972" s="4">
        <v>25</v>
      </c>
      <c r="B972" s="4">
        <v>0</v>
      </c>
      <c r="C972" s="4" t="s">
        <v>40</v>
      </c>
      <c r="D972" s="4" t="s">
        <v>5</v>
      </c>
    </row>
    <row r="973" spans="1:4" x14ac:dyDescent="0.25">
      <c r="A973" s="4">
        <v>25</v>
      </c>
      <c r="B973" s="4">
        <v>0</v>
      </c>
      <c r="C973" s="4" t="s">
        <v>41</v>
      </c>
      <c r="D973" s="4" t="s">
        <v>5</v>
      </c>
    </row>
    <row r="974" spans="1:4" x14ac:dyDescent="0.25">
      <c r="A974" s="4">
        <v>25</v>
      </c>
      <c r="B974" s="4">
        <v>1</v>
      </c>
      <c r="C974" s="4" t="s">
        <v>42</v>
      </c>
      <c r="D974" s="4" t="s">
        <v>5</v>
      </c>
    </row>
    <row r="975" spans="1:4" x14ac:dyDescent="0.25">
      <c r="A975" s="4">
        <v>25</v>
      </c>
      <c r="B975" s="4">
        <v>1</v>
      </c>
      <c r="C975" s="4" t="s">
        <v>43</v>
      </c>
      <c r="D975" s="4" t="s">
        <v>5</v>
      </c>
    </row>
    <row r="976" spans="1:4" x14ac:dyDescent="0.25">
      <c r="A976" s="4">
        <v>25</v>
      </c>
      <c r="B976" s="4">
        <v>1</v>
      </c>
      <c r="C976" s="4" t="s">
        <v>44</v>
      </c>
      <c r="D976" s="4" t="s">
        <v>5</v>
      </c>
    </row>
    <row r="977" spans="1:4" x14ac:dyDescent="0.25">
      <c r="A977" s="4">
        <v>25</v>
      </c>
      <c r="B977" s="4">
        <v>0</v>
      </c>
      <c r="C977" s="4" t="s">
        <v>45</v>
      </c>
      <c r="D977" s="4" t="s">
        <v>5</v>
      </c>
    </row>
    <row r="978" spans="1:4" x14ac:dyDescent="0.25">
      <c r="A978" s="4">
        <v>25</v>
      </c>
      <c r="B978" s="4">
        <v>0</v>
      </c>
      <c r="C978" s="4" t="s">
        <v>46</v>
      </c>
      <c r="D978" s="4" t="s">
        <v>5</v>
      </c>
    </row>
    <row r="979" spans="1:4" x14ac:dyDescent="0.25">
      <c r="A979" s="4">
        <v>25</v>
      </c>
      <c r="B979" s="4">
        <v>1</v>
      </c>
      <c r="C979" s="4" t="s">
        <v>47</v>
      </c>
      <c r="D979" s="4" t="s">
        <v>5</v>
      </c>
    </row>
    <row r="980" spans="1:4" x14ac:dyDescent="0.25">
      <c r="A980" s="4">
        <v>25</v>
      </c>
      <c r="B980" s="4">
        <v>0</v>
      </c>
      <c r="C980" s="4" t="s">
        <v>48</v>
      </c>
      <c r="D980" s="4" t="s">
        <v>5</v>
      </c>
    </row>
    <row r="981" spans="1:4" x14ac:dyDescent="0.25">
      <c r="A981" s="4">
        <v>25</v>
      </c>
      <c r="B981" s="4">
        <v>0</v>
      </c>
      <c r="C981" s="4" t="s">
        <v>49</v>
      </c>
      <c r="D981" s="4" t="s">
        <v>5</v>
      </c>
    </row>
    <row r="982" spans="1:4" x14ac:dyDescent="0.25">
      <c r="A982" s="4">
        <v>25</v>
      </c>
      <c r="B982" s="4">
        <v>1</v>
      </c>
      <c r="C982" s="4" t="s">
        <v>40</v>
      </c>
      <c r="D982" s="4" t="s">
        <v>6</v>
      </c>
    </row>
    <row r="983" spans="1:4" x14ac:dyDescent="0.25">
      <c r="A983" s="4">
        <v>25</v>
      </c>
      <c r="B983" s="4">
        <v>0</v>
      </c>
      <c r="C983" s="4" t="s">
        <v>41</v>
      </c>
      <c r="D983" s="4" t="s">
        <v>6</v>
      </c>
    </row>
    <row r="984" spans="1:4" x14ac:dyDescent="0.25">
      <c r="A984" s="4">
        <v>25</v>
      </c>
      <c r="B984" s="4">
        <v>0</v>
      </c>
      <c r="C984" s="4" t="s">
        <v>42</v>
      </c>
      <c r="D984" s="4" t="s">
        <v>6</v>
      </c>
    </row>
    <row r="985" spans="1:4" x14ac:dyDescent="0.25">
      <c r="A985" s="4">
        <v>25</v>
      </c>
      <c r="B985" s="4">
        <v>0</v>
      </c>
      <c r="C985" s="4" t="s">
        <v>43</v>
      </c>
      <c r="D985" s="4" t="s">
        <v>6</v>
      </c>
    </row>
    <row r="986" spans="1:4" x14ac:dyDescent="0.25">
      <c r="A986" s="4">
        <v>25</v>
      </c>
      <c r="B986" s="4">
        <v>0</v>
      </c>
      <c r="C986" s="4" t="s">
        <v>44</v>
      </c>
      <c r="D986" s="4" t="s">
        <v>6</v>
      </c>
    </row>
    <row r="987" spans="1:4" x14ac:dyDescent="0.25">
      <c r="A987" s="4">
        <v>25</v>
      </c>
      <c r="B987" s="4">
        <v>0</v>
      </c>
      <c r="C987" s="4" t="s">
        <v>45</v>
      </c>
      <c r="D987" s="4" t="s">
        <v>6</v>
      </c>
    </row>
    <row r="988" spans="1:4" x14ac:dyDescent="0.25">
      <c r="A988" s="4">
        <v>25</v>
      </c>
      <c r="B988" s="4">
        <v>1</v>
      </c>
      <c r="C988" s="4" t="s">
        <v>46</v>
      </c>
      <c r="D988" s="4" t="s">
        <v>6</v>
      </c>
    </row>
    <row r="989" spans="1:4" x14ac:dyDescent="0.25">
      <c r="A989" s="4">
        <v>25</v>
      </c>
      <c r="B989" s="4">
        <v>0</v>
      </c>
      <c r="C989" s="4" t="s">
        <v>47</v>
      </c>
      <c r="D989" s="4" t="s">
        <v>6</v>
      </c>
    </row>
    <row r="990" spans="1:4" x14ac:dyDescent="0.25">
      <c r="A990" s="4">
        <v>25</v>
      </c>
      <c r="B990" s="4">
        <v>0</v>
      </c>
      <c r="C990" s="4" t="s">
        <v>48</v>
      </c>
      <c r="D990" s="4" t="s">
        <v>6</v>
      </c>
    </row>
    <row r="991" spans="1:4" x14ac:dyDescent="0.25">
      <c r="A991" s="4">
        <v>25</v>
      </c>
      <c r="B991" s="4">
        <v>1</v>
      </c>
      <c r="C991" s="4" t="s">
        <v>49</v>
      </c>
      <c r="D991" s="4" t="s">
        <v>6</v>
      </c>
    </row>
    <row r="992" spans="1:4" x14ac:dyDescent="0.25">
      <c r="A992" s="4">
        <v>25</v>
      </c>
      <c r="B992" s="4">
        <v>0</v>
      </c>
      <c r="C992" s="4" t="s">
        <v>40</v>
      </c>
      <c r="D992" s="4" t="s">
        <v>7</v>
      </c>
    </row>
    <row r="993" spans="1:4" x14ac:dyDescent="0.25">
      <c r="A993" s="4">
        <v>25</v>
      </c>
      <c r="B993" s="4">
        <v>1</v>
      </c>
      <c r="C993" s="4" t="s">
        <v>41</v>
      </c>
      <c r="D993" s="4" t="s">
        <v>7</v>
      </c>
    </row>
    <row r="994" spans="1:4" x14ac:dyDescent="0.25">
      <c r="A994" s="4">
        <v>25</v>
      </c>
      <c r="B994" s="4">
        <v>0</v>
      </c>
      <c r="C994" s="4" t="s">
        <v>42</v>
      </c>
      <c r="D994" s="4" t="s">
        <v>7</v>
      </c>
    </row>
    <row r="995" spans="1:4" x14ac:dyDescent="0.25">
      <c r="A995" s="4">
        <v>25</v>
      </c>
      <c r="B995" s="4">
        <v>0</v>
      </c>
      <c r="C995" s="4" t="s">
        <v>43</v>
      </c>
      <c r="D995" s="4" t="s">
        <v>7</v>
      </c>
    </row>
    <row r="996" spans="1:4" x14ac:dyDescent="0.25">
      <c r="A996" s="4">
        <v>25</v>
      </c>
      <c r="B996" s="4">
        <v>0</v>
      </c>
      <c r="C996" s="4" t="s">
        <v>44</v>
      </c>
      <c r="D996" s="4" t="s">
        <v>7</v>
      </c>
    </row>
    <row r="997" spans="1:4" x14ac:dyDescent="0.25">
      <c r="A997" s="4">
        <v>25</v>
      </c>
      <c r="B997" s="4">
        <v>0</v>
      </c>
      <c r="C997" s="4" t="s">
        <v>45</v>
      </c>
      <c r="D997" s="4" t="s">
        <v>7</v>
      </c>
    </row>
    <row r="998" spans="1:4" x14ac:dyDescent="0.25">
      <c r="A998" s="4">
        <v>25</v>
      </c>
      <c r="B998" s="4">
        <v>0</v>
      </c>
      <c r="C998" s="4" t="s">
        <v>46</v>
      </c>
      <c r="D998" s="4" t="s">
        <v>7</v>
      </c>
    </row>
    <row r="999" spans="1:4" x14ac:dyDescent="0.25">
      <c r="A999" s="4">
        <v>25</v>
      </c>
      <c r="B999" s="4">
        <v>0</v>
      </c>
      <c r="C999" s="4" t="s">
        <v>47</v>
      </c>
      <c r="D999" s="4" t="s">
        <v>7</v>
      </c>
    </row>
    <row r="1000" spans="1:4" x14ac:dyDescent="0.25">
      <c r="A1000" s="4">
        <v>25</v>
      </c>
      <c r="B1000" s="4">
        <v>0</v>
      </c>
      <c r="C1000" s="4" t="s">
        <v>48</v>
      </c>
      <c r="D1000" s="4" t="s">
        <v>7</v>
      </c>
    </row>
    <row r="1001" spans="1:4" x14ac:dyDescent="0.25">
      <c r="A1001" s="4">
        <v>25</v>
      </c>
      <c r="B1001" s="4">
        <v>0</v>
      </c>
      <c r="C1001" s="4" t="s">
        <v>49</v>
      </c>
      <c r="D1001" s="4" t="s">
        <v>7</v>
      </c>
    </row>
    <row r="1002" spans="1:4" x14ac:dyDescent="0.25">
      <c r="A1002" s="4">
        <v>26</v>
      </c>
      <c r="B1002" s="4">
        <v>1</v>
      </c>
      <c r="C1002" s="4" t="s">
        <v>40</v>
      </c>
      <c r="D1002" s="4" t="s">
        <v>4</v>
      </c>
    </row>
    <row r="1003" spans="1:4" x14ac:dyDescent="0.25">
      <c r="A1003" s="4">
        <v>26</v>
      </c>
      <c r="B1003" s="4">
        <v>0</v>
      </c>
      <c r="C1003" s="4" t="s">
        <v>41</v>
      </c>
      <c r="D1003" s="4" t="s">
        <v>4</v>
      </c>
    </row>
    <row r="1004" spans="1:4" x14ac:dyDescent="0.25">
      <c r="A1004" s="4">
        <v>26</v>
      </c>
      <c r="B1004" s="4">
        <v>1</v>
      </c>
      <c r="C1004" s="4" t="s">
        <v>42</v>
      </c>
      <c r="D1004" s="4" t="s">
        <v>4</v>
      </c>
    </row>
    <row r="1005" spans="1:4" x14ac:dyDescent="0.25">
      <c r="A1005" s="4">
        <v>26</v>
      </c>
      <c r="B1005" s="4">
        <v>0</v>
      </c>
      <c r="C1005" s="4" t="s">
        <v>43</v>
      </c>
      <c r="D1005" s="4" t="s">
        <v>4</v>
      </c>
    </row>
    <row r="1006" spans="1:4" x14ac:dyDescent="0.25">
      <c r="A1006" s="4">
        <v>26</v>
      </c>
      <c r="B1006" s="4">
        <v>0</v>
      </c>
      <c r="C1006" s="4" t="s">
        <v>44</v>
      </c>
      <c r="D1006" s="4" t="s">
        <v>4</v>
      </c>
    </row>
    <row r="1007" spans="1:4" x14ac:dyDescent="0.25">
      <c r="A1007" s="4">
        <v>26</v>
      </c>
      <c r="B1007" s="4">
        <v>0</v>
      </c>
      <c r="C1007" s="4" t="s">
        <v>45</v>
      </c>
      <c r="D1007" s="4" t="s">
        <v>4</v>
      </c>
    </row>
    <row r="1008" spans="1:4" x14ac:dyDescent="0.25">
      <c r="A1008" s="4">
        <v>26</v>
      </c>
      <c r="B1008" s="4">
        <v>0</v>
      </c>
      <c r="C1008" s="4" t="s">
        <v>46</v>
      </c>
      <c r="D1008" s="4" t="s">
        <v>4</v>
      </c>
    </row>
    <row r="1009" spans="1:4" x14ac:dyDescent="0.25">
      <c r="A1009" s="4">
        <v>26</v>
      </c>
      <c r="B1009" s="4">
        <v>1</v>
      </c>
      <c r="C1009" s="4" t="s">
        <v>47</v>
      </c>
      <c r="D1009" s="4" t="s">
        <v>4</v>
      </c>
    </row>
    <row r="1010" spans="1:4" x14ac:dyDescent="0.25">
      <c r="A1010" s="4">
        <v>26</v>
      </c>
      <c r="B1010" s="4">
        <v>1</v>
      </c>
      <c r="C1010" s="4" t="s">
        <v>48</v>
      </c>
      <c r="D1010" s="4" t="s">
        <v>4</v>
      </c>
    </row>
    <row r="1011" spans="1:4" x14ac:dyDescent="0.25">
      <c r="A1011" s="4">
        <v>26</v>
      </c>
      <c r="B1011" s="4">
        <v>0</v>
      </c>
      <c r="C1011" s="4" t="s">
        <v>49</v>
      </c>
      <c r="D1011" s="4" t="s">
        <v>4</v>
      </c>
    </row>
    <row r="1012" spans="1:4" x14ac:dyDescent="0.25">
      <c r="A1012" s="4">
        <v>26</v>
      </c>
      <c r="B1012" s="4">
        <v>0</v>
      </c>
      <c r="C1012" s="4" t="s">
        <v>40</v>
      </c>
      <c r="D1012" s="4" t="s">
        <v>5</v>
      </c>
    </row>
    <row r="1013" spans="1:4" x14ac:dyDescent="0.25">
      <c r="A1013" s="4">
        <v>26</v>
      </c>
      <c r="B1013" s="4">
        <v>0</v>
      </c>
      <c r="C1013" s="4" t="s">
        <v>41</v>
      </c>
      <c r="D1013" s="4" t="s">
        <v>5</v>
      </c>
    </row>
    <row r="1014" spans="1:4" x14ac:dyDescent="0.25">
      <c r="A1014" s="4">
        <v>26</v>
      </c>
      <c r="B1014" s="4">
        <v>0</v>
      </c>
      <c r="C1014" s="4" t="s">
        <v>42</v>
      </c>
      <c r="D1014" s="4" t="s">
        <v>5</v>
      </c>
    </row>
    <row r="1015" spans="1:4" x14ac:dyDescent="0.25">
      <c r="A1015" s="4">
        <v>26</v>
      </c>
      <c r="B1015" s="4">
        <v>0</v>
      </c>
      <c r="C1015" s="4" t="s">
        <v>43</v>
      </c>
      <c r="D1015" s="4" t="s">
        <v>5</v>
      </c>
    </row>
    <row r="1016" spans="1:4" x14ac:dyDescent="0.25">
      <c r="A1016" s="4">
        <v>26</v>
      </c>
      <c r="B1016" s="4">
        <v>1</v>
      </c>
      <c r="C1016" s="4" t="s">
        <v>44</v>
      </c>
      <c r="D1016" s="4" t="s">
        <v>5</v>
      </c>
    </row>
    <row r="1017" spans="1:4" x14ac:dyDescent="0.25">
      <c r="A1017" s="4">
        <v>26</v>
      </c>
      <c r="B1017" s="4">
        <v>1</v>
      </c>
      <c r="C1017" s="4" t="s">
        <v>45</v>
      </c>
      <c r="D1017" s="4" t="s">
        <v>5</v>
      </c>
    </row>
    <row r="1018" spans="1:4" x14ac:dyDescent="0.25">
      <c r="A1018" s="4">
        <v>26</v>
      </c>
      <c r="B1018" s="4">
        <v>0</v>
      </c>
      <c r="C1018" s="4" t="s">
        <v>46</v>
      </c>
      <c r="D1018" s="4" t="s">
        <v>5</v>
      </c>
    </row>
    <row r="1019" spans="1:4" x14ac:dyDescent="0.25">
      <c r="A1019" s="4">
        <v>26</v>
      </c>
      <c r="B1019" s="4">
        <v>0</v>
      </c>
      <c r="C1019" s="4" t="s">
        <v>47</v>
      </c>
      <c r="D1019" s="4" t="s">
        <v>5</v>
      </c>
    </row>
    <row r="1020" spans="1:4" x14ac:dyDescent="0.25">
      <c r="A1020" s="4">
        <v>26</v>
      </c>
      <c r="B1020" s="4">
        <v>0</v>
      </c>
      <c r="C1020" s="4" t="s">
        <v>48</v>
      </c>
      <c r="D1020" s="4" t="s">
        <v>5</v>
      </c>
    </row>
    <row r="1021" spans="1:4" x14ac:dyDescent="0.25">
      <c r="A1021" s="4">
        <v>26</v>
      </c>
      <c r="B1021" s="4">
        <v>0</v>
      </c>
      <c r="C1021" s="4" t="s">
        <v>49</v>
      </c>
      <c r="D1021" s="4" t="s">
        <v>5</v>
      </c>
    </row>
    <row r="1022" spans="1:4" x14ac:dyDescent="0.25">
      <c r="A1022" s="4">
        <v>26</v>
      </c>
      <c r="B1022" s="4">
        <v>0</v>
      </c>
      <c r="C1022" s="4" t="s">
        <v>40</v>
      </c>
      <c r="D1022" s="4" t="s">
        <v>6</v>
      </c>
    </row>
    <row r="1023" spans="1:4" x14ac:dyDescent="0.25">
      <c r="A1023" s="4">
        <v>26</v>
      </c>
      <c r="B1023" s="4">
        <v>0</v>
      </c>
      <c r="C1023" s="4" t="s">
        <v>41</v>
      </c>
      <c r="D1023" s="4" t="s">
        <v>6</v>
      </c>
    </row>
    <row r="1024" spans="1:4" x14ac:dyDescent="0.25">
      <c r="A1024" s="4">
        <v>26</v>
      </c>
      <c r="B1024" s="4">
        <v>0</v>
      </c>
      <c r="C1024" s="4" t="s">
        <v>42</v>
      </c>
      <c r="D1024" s="4" t="s">
        <v>6</v>
      </c>
    </row>
    <row r="1025" spans="1:4" x14ac:dyDescent="0.25">
      <c r="A1025" s="4">
        <v>26</v>
      </c>
      <c r="B1025" s="4">
        <v>1</v>
      </c>
      <c r="C1025" s="4" t="s">
        <v>43</v>
      </c>
      <c r="D1025" s="4" t="s">
        <v>6</v>
      </c>
    </row>
    <row r="1026" spans="1:4" x14ac:dyDescent="0.25">
      <c r="A1026" s="4">
        <v>26</v>
      </c>
      <c r="B1026" s="4">
        <v>0</v>
      </c>
      <c r="C1026" s="4" t="s">
        <v>44</v>
      </c>
      <c r="D1026" s="4" t="s">
        <v>6</v>
      </c>
    </row>
    <row r="1027" spans="1:4" x14ac:dyDescent="0.25">
      <c r="A1027" s="4">
        <v>26</v>
      </c>
      <c r="B1027" s="4">
        <v>0</v>
      </c>
      <c r="C1027" s="4" t="s">
        <v>45</v>
      </c>
      <c r="D1027" s="4" t="s">
        <v>6</v>
      </c>
    </row>
    <row r="1028" spans="1:4" x14ac:dyDescent="0.25">
      <c r="A1028" s="4">
        <v>26</v>
      </c>
      <c r="B1028" s="4">
        <v>1</v>
      </c>
      <c r="C1028" s="4" t="s">
        <v>46</v>
      </c>
      <c r="D1028" s="4" t="s">
        <v>6</v>
      </c>
    </row>
    <row r="1029" spans="1:4" x14ac:dyDescent="0.25">
      <c r="A1029" s="4">
        <v>26</v>
      </c>
      <c r="B1029" s="4">
        <v>0</v>
      </c>
      <c r="C1029" s="4" t="s">
        <v>47</v>
      </c>
      <c r="D1029" s="4" t="s">
        <v>6</v>
      </c>
    </row>
    <row r="1030" spans="1:4" x14ac:dyDescent="0.25">
      <c r="A1030" s="4">
        <v>26</v>
      </c>
      <c r="B1030" s="4">
        <v>0</v>
      </c>
      <c r="C1030" s="4" t="s">
        <v>48</v>
      </c>
      <c r="D1030" s="4" t="s">
        <v>6</v>
      </c>
    </row>
    <row r="1031" spans="1:4" x14ac:dyDescent="0.25">
      <c r="A1031" s="4">
        <v>26</v>
      </c>
      <c r="B1031" s="4">
        <v>1</v>
      </c>
      <c r="C1031" s="4" t="s">
        <v>49</v>
      </c>
      <c r="D1031" s="4" t="s">
        <v>6</v>
      </c>
    </row>
    <row r="1032" spans="1:4" x14ac:dyDescent="0.25">
      <c r="A1032" s="4">
        <v>26</v>
      </c>
      <c r="B1032" s="4">
        <v>0</v>
      </c>
      <c r="C1032" s="4" t="s">
        <v>40</v>
      </c>
      <c r="D1032" s="4" t="s">
        <v>7</v>
      </c>
    </row>
    <row r="1033" spans="1:4" x14ac:dyDescent="0.25">
      <c r="A1033" s="4">
        <v>26</v>
      </c>
      <c r="B1033" s="4">
        <v>1</v>
      </c>
      <c r="C1033" s="4" t="s">
        <v>41</v>
      </c>
      <c r="D1033" s="4" t="s">
        <v>7</v>
      </c>
    </row>
    <row r="1034" spans="1:4" x14ac:dyDescent="0.25">
      <c r="A1034" s="4">
        <v>26</v>
      </c>
      <c r="B1034" s="4">
        <v>0</v>
      </c>
      <c r="C1034" s="4" t="s">
        <v>42</v>
      </c>
      <c r="D1034" s="4" t="s">
        <v>7</v>
      </c>
    </row>
    <row r="1035" spans="1:4" x14ac:dyDescent="0.25">
      <c r="A1035" s="4">
        <v>26</v>
      </c>
      <c r="B1035" s="4">
        <v>0</v>
      </c>
      <c r="C1035" s="4" t="s">
        <v>43</v>
      </c>
      <c r="D1035" s="4" t="s">
        <v>7</v>
      </c>
    </row>
    <row r="1036" spans="1:4" x14ac:dyDescent="0.25">
      <c r="A1036" s="4">
        <v>26</v>
      </c>
      <c r="B1036" s="4">
        <v>0</v>
      </c>
      <c r="C1036" s="4" t="s">
        <v>44</v>
      </c>
      <c r="D1036" s="4" t="s">
        <v>7</v>
      </c>
    </row>
    <row r="1037" spans="1:4" x14ac:dyDescent="0.25">
      <c r="A1037" s="4">
        <v>26</v>
      </c>
      <c r="B1037" s="4">
        <v>0</v>
      </c>
      <c r="C1037" s="4" t="s">
        <v>45</v>
      </c>
      <c r="D1037" s="4" t="s">
        <v>7</v>
      </c>
    </row>
    <row r="1038" spans="1:4" x14ac:dyDescent="0.25">
      <c r="A1038" s="4">
        <v>26</v>
      </c>
      <c r="B1038" s="4">
        <v>0</v>
      </c>
      <c r="C1038" s="4" t="s">
        <v>46</v>
      </c>
      <c r="D1038" s="4" t="s">
        <v>7</v>
      </c>
    </row>
    <row r="1039" spans="1:4" x14ac:dyDescent="0.25">
      <c r="A1039" s="4">
        <v>26</v>
      </c>
      <c r="B1039" s="4">
        <v>0</v>
      </c>
      <c r="C1039" s="4" t="s">
        <v>47</v>
      </c>
      <c r="D1039" s="4" t="s">
        <v>7</v>
      </c>
    </row>
    <row r="1040" spans="1:4" x14ac:dyDescent="0.25">
      <c r="A1040" s="4">
        <v>26</v>
      </c>
      <c r="B1040" s="4">
        <v>0</v>
      </c>
      <c r="C1040" s="4" t="s">
        <v>48</v>
      </c>
      <c r="D1040" s="4" t="s">
        <v>7</v>
      </c>
    </row>
    <row r="1041" spans="1:4" x14ac:dyDescent="0.25">
      <c r="A1041" s="4">
        <v>26</v>
      </c>
      <c r="B1041" s="4">
        <v>0</v>
      </c>
      <c r="C1041" s="4" t="s">
        <v>49</v>
      </c>
      <c r="D1041" s="4" t="s">
        <v>7</v>
      </c>
    </row>
    <row r="1042" spans="1:4" x14ac:dyDescent="0.25">
      <c r="A1042" s="4">
        <v>27</v>
      </c>
      <c r="B1042" s="4">
        <v>0</v>
      </c>
      <c r="C1042" s="4" t="s">
        <v>40</v>
      </c>
      <c r="D1042" s="4" t="s">
        <v>4</v>
      </c>
    </row>
    <row r="1043" spans="1:4" x14ac:dyDescent="0.25">
      <c r="A1043" s="4">
        <v>27</v>
      </c>
      <c r="B1043" s="4">
        <v>0</v>
      </c>
      <c r="C1043" s="4" t="s">
        <v>41</v>
      </c>
      <c r="D1043" s="4" t="s">
        <v>4</v>
      </c>
    </row>
    <row r="1044" spans="1:4" x14ac:dyDescent="0.25">
      <c r="A1044" s="4">
        <v>27</v>
      </c>
      <c r="B1044" s="4">
        <v>0</v>
      </c>
      <c r="C1044" s="4" t="s">
        <v>42</v>
      </c>
      <c r="D1044" s="4" t="s">
        <v>4</v>
      </c>
    </row>
    <row r="1045" spans="1:4" x14ac:dyDescent="0.25">
      <c r="A1045" s="4">
        <v>27</v>
      </c>
      <c r="B1045" s="4">
        <v>0</v>
      </c>
      <c r="C1045" s="4" t="s">
        <v>43</v>
      </c>
      <c r="D1045" s="4" t="s">
        <v>4</v>
      </c>
    </row>
    <row r="1046" spans="1:4" x14ac:dyDescent="0.25">
      <c r="A1046" s="4">
        <v>27</v>
      </c>
      <c r="B1046" s="4">
        <v>0</v>
      </c>
      <c r="C1046" s="4" t="s">
        <v>44</v>
      </c>
      <c r="D1046" s="4" t="s">
        <v>4</v>
      </c>
    </row>
    <row r="1047" spans="1:4" x14ac:dyDescent="0.25">
      <c r="A1047" s="4">
        <v>27</v>
      </c>
      <c r="B1047" s="4">
        <v>1</v>
      </c>
      <c r="C1047" s="4" t="s">
        <v>45</v>
      </c>
      <c r="D1047" s="4" t="s">
        <v>4</v>
      </c>
    </row>
    <row r="1048" spans="1:4" x14ac:dyDescent="0.25">
      <c r="A1048" s="4">
        <v>27</v>
      </c>
      <c r="B1048" s="4">
        <v>0</v>
      </c>
      <c r="C1048" s="4" t="s">
        <v>46</v>
      </c>
      <c r="D1048" s="4" t="s">
        <v>4</v>
      </c>
    </row>
    <row r="1049" spans="1:4" x14ac:dyDescent="0.25">
      <c r="A1049" s="4">
        <v>27</v>
      </c>
      <c r="B1049" s="4">
        <v>1</v>
      </c>
      <c r="C1049" s="4" t="s">
        <v>47</v>
      </c>
      <c r="D1049" s="4" t="s">
        <v>4</v>
      </c>
    </row>
    <row r="1050" spans="1:4" x14ac:dyDescent="0.25">
      <c r="A1050" s="4">
        <v>27</v>
      </c>
      <c r="B1050" s="4">
        <v>0</v>
      </c>
      <c r="C1050" s="4" t="s">
        <v>48</v>
      </c>
      <c r="D1050" s="4" t="s">
        <v>4</v>
      </c>
    </row>
    <row r="1051" spans="1:4" x14ac:dyDescent="0.25">
      <c r="A1051" s="4">
        <v>27</v>
      </c>
      <c r="B1051" s="4">
        <v>0</v>
      </c>
      <c r="C1051" s="4" t="s">
        <v>49</v>
      </c>
      <c r="D1051" s="4" t="s">
        <v>4</v>
      </c>
    </row>
    <row r="1052" spans="1:4" x14ac:dyDescent="0.25">
      <c r="A1052" s="4">
        <v>27</v>
      </c>
      <c r="B1052" s="4">
        <v>1</v>
      </c>
      <c r="C1052" s="4" t="s">
        <v>40</v>
      </c>
      <c r="D1052" s="4" t="s">
        <v>5</v>
      </c>
    </row>
    <row r="1053" spans="1:4" x14ac:dyDescent="0.25">
      <c r="A1053" s="4">
        <v>27</v>
      </c>
      <c r="B1053" s="4">
        <v>0</v>
      </c>
      <c r="C1053" s="4" t="s">
        <v>41</v>
      </c>
      <c r="D1053" s="4" t="s">
        <v>5</v>
      </c>
    </row>
    <row r="1054" spans="1:4" x14ac:dyDescent="0.25">
      <c r="A1054" s="4">
        <v>27</v>
      </c>
      <c r="B1054" s="4">
        <v>1</v>
      </c>
      <c r="C1054" s="4" t="s">
        <v>42</v>
      </c>
      <c r="D1054" s="4" t="s">
        <v>5</v>
      </c>
    </row>
    <row r="1055" spans="1:4" x14ac:dyDescent="0.25">
      <c r="A1055" s="4">
        <v>27</v>
      </c>
      <c r="B1055" s="4">
        <v>1</v>
      </c>
      <c r="C1055" s="4" t="s">
        <v>43</v>
      </c>
      <c r="D1055" s="4" t="s">
        <v>5</v>
      </c>
    </row>
    <row r="1056" spans="1:4" x14ac:dyDescent="0.25">
      <c r="A1056" s="4">
        <v>27</v>
      </c>
      <c r="B1056" s="4">
        <v>1</v>
      </c>
      <c r="C1056" s="4" t="s">
        <v>44</v>
      </c>
      <c r="D1056" s="4" t="s">
        <v>5</v>
      </c>
    </row>
    <row r="1057" spans="1:4" x14ac:dyDescent="0.25">
      <c r="A1057" s="4">
        <v>27</v>
      </c>
      <c r="B1057" s="4">
        <v>0</v>
      </c>
      <c r="C1057" s="4" t="s">
        <v>45</v>
      </c>
      <c r="D1057" s="4" t="s">
        <v>5</v>
      </c>
    </row>
    <row r="1058" spans="1:4" x14ac:dyDescent="0.25">
      <c r="A1058" s="4">
        <v>27</v>
      </c>
      <c r="B1058" s="4">
        <v>0</v>
      </c>
      <c r="C1058" s="4" t="s">
        <v>46</v>
      </c>
      <c r="D1058" s="4" t="s">
        <v>5</v>
      </c>
    </row>
    <row r="1059" spans="1:4" x14ac:dyDescent="0.25">
      <c r="A1059" s="4">
        <v>27</v>
      </c>
      <c r="B1059" s="4">
        <v>0</v>
      </c>
      <c r="C1059" s="4" t="s">
        <v>47</v>
      </c>
      <c r="D1059" s="4" t="s">
        <v>5</v>
      </c>
    </row>
    <row r="1060" spans="1:4" x14ac:dyDescent="0.25">
      <c r="A1060" s="4">
        <v>27</v>
      </c>
      <c r="B1060" s="4">
        <v>0</v>
      </c>
      <c r="C1060" s="4" t="s">
        <v>48</v>
      </c>
      <c r="D1060" s="4" t="s">
        <v>5</v>
      </c>
    </row>
    <row r="1061" spans="1:4" x14ac:dyDescent="0.25">
      <c r="A1061" s="4">
        <v>27</v>
      </c>
      <c r="B1061" s="4">
        <v>0</v>
      </c>
      <c r="C1061" s="4" t="s">
        <v>49</v>
      </c>
      <c r="D1061" s="4" t="s">
        <v>5</v>
      </c>
    </row>
    <row r="1062" spans="1:4" x14ac:dyDescent="0.25">
      <c r="A1062" s="4">
        <v>27</v>
      </c>
      <c r="B1062" s="4">
        <v>0</v>
      </c>
      <c r="C1062" s="4" t="s">
        <v>40</v>
      </c>
      <c r="D1062" s="4" t="s">
        <v>6</v>
      </c>
    </row>
    <row r="1063" spans="1:4" x14ac:dyDescent="0.25">
      <c r="A1063" s="4">
        <v>27</v>
      </c>
      <c r="B1063" s="4">
        <v>1</v>
      </c>
      <c r="C1063" s="4" t="s">
        <v>41</v>
      </c>
      <c r="D1063" s="4" t="s">
        <v>6</v>
      </c>
    </row>
    <row r="1064" spans="1:4" x14ac:dyDescent="0.25">
      <c r="A1064" s="4">
        <v>27</v>
      </c>
      <c r="B1064" s="4">
        <v>0</v>
      </c>
      <c r="C1064" s="4" t="s">
        <v>42</v>
      </c>
      <c r="D1064" s="4" t="s">
        <v>6</v>
      </c>
    </row>
    <row r="1065" spans="1:4" x14ac:dyDescent="0.25">
      <c r="A1065" s="4">
        <v>27</v>
      </c>
      <c r="B1065" s="4">
        <v>0</v>
      </c>
      <c r="C1065" s="4" t="s">
        <v>43</v>
      </c>
      <c r="D1065" s="4" t="s">
        <v>6</v>
      </c>
    </row>
    <row r="1066" spans="1:4" x14ac:dyDescent="0.25">
      <c r="A1066" s="4">
        <v>27</v>
      </c>
      <c r="B1066" s="4">
        <v>0</v>
      </c>
      <c r="C1066" s="4" t="s">
        <v>44</v>
      </c>
      <c r="D1066" s="4" t="s">
        <v>6</v>
      </c>
    </row>
    <row r="1067" spans="1:4" x14ac:dyDescent="0.25">
      <c r="A1067" s="4">
        <v>27</v>
      </c>
      <c r="B1067" s="4">
        <v>0</v>
      </c>
      <c r="C1067" s="4" t="s">
        <v>45</v>
      </c>
      <c r="D1067" s="4" t="s">
        <v>6</v>
      </c>
    </row>
    <row r="1068" spans="1:4" x14ac:dyDescent="0.25">
      <c r="A1068" s="4">
        <v>27</v>
      </c>
      <c r="B1068" s="4">
        <v>0</v>
      </c>
      <c r="C1068" s="4" t="s">
        <v>46</v>
      </c>
      <c r="D1068" s="4" t="s">
        <v>6</v>
      </c>
    </row>
    <row r="1069" spans="1:4" x14ac:dyDescent="0.25">
      <c r="A1069" s="4">
        <v>27</v>
      </c>
      <c r="B1069" s="4">
        <v>0</v>
      </c>
      <c r="C1069" s="4" t="s">
        <v>47</v>
      </c>
      <c r="D1069" s="4" t="s">
        <v>6</v>
      </c>
    </row>
    <row r="1070" spans="1:4" x14ac:dyDescent="0.25">
      <c r="A1070" s="4">
        <v>27</v>
      </c>
      <c r="B1070" s="4">
        <v>1</v>
      </c>
      <c r="C1070" s="4" t="s">
        <v>48</v>
      </c>
      <c r="D1070" s="4" t="s">
        <v>6</v>
      </c>
    </row>
    <row r="1071" spans="1:4" x14ac:dyDescent="0.25">
      <c r="A1071" s="4">
        <v>27</v>
      </c>
      <c r="B1071" s="4">
        <v>1</v>
      </c>
      <c r="C1071" s="4" t="s">
        <v>49</v>
      </c>
      <c r="D1071" s="4" t="s">
        <v>6</v>
      </c>
    </row>
    <row r="1072" spans="1:4" x14ac:dyDescent="0.25">
      <c r="A1072" s="4">
        <v>27</v>
      </c>
      <c r="B1072" s="4">
        <v>0</v>
      </c>
      <c r="C1072" s="4" t="s">
        <v>40</v>
      </c>
      <c r="D1072" s="4" t="s">
        <v>7</v>
      </c>
    </row>
    <row r="1073" spans="1:4" x14ac:dyDescent="0.25">
      <c r="A1073" s="4">
        <v>27</v>
      </c>
      <c r="B1073" s="4">
        <v>0</v>
      </c>
      <c r="C1073" s="4" t="s">
        <v>41</v>
      </c>
      <c r="D1073" s="4" t="s">
        <v>7</v>
      </c>
    </row>
    <row r="1074" spans="1:4" x14ac:dyDescent="0.25">
      <c r="A1074" s="4">
        <v>27</v>
      </c>
      <c r="B1074" s="4">
        <v>0</v>
      </c>
      <c r="C1074" s="4" t="s">
        <v>42</v>
      </c>
      <c r="D1074" s="4" t="s">
        <v>7</v>
      </c>
    </row>
    <row r="1075" spans="1:4" x14ac:dyDescent="0.25">
      <c r="A1075" s="4">
        <v>27</v>
      </c>
      <c r="B1075" s="4">
        <v>0</v>
      </c>
      <c r="C1075" s="4" t="s">
        <v>43</v>
      </c>
      <c r="D1075" s="4" t="s">
        <v>7</v>
      </c>
    </row>
    <row r="1076" spans="1:4" x14ac:dyDescent="0.25">
      <c r="A1076" s="4">
        <v>27</v>
      </c>
      <c r="B1076" s="4">
        <v>0</v>
      </c>
      <c r="C1076" s="4" t="s">
        <v>44</v>
      </c>
      <c r="D1076" s="4" t="s">
        <v>7</v>
      </c>
    </row>
    <row r="1077" spans="1:4" x14ac:dyDescent="0.25">
      <c r="A1077" s="4">
        <v>27</v>
      </c>
      <c r="B1077" s="4">
        <v>0</v>
      </c>
      <c r="C1077" s="4" t="s">
        <v>45</v>
      </c>
      <c r="D1077" s="4" t="s">
        <v>7</v>
      </c>
    </row>
    <row r="1078" spans="1:4" x14ac:dyDescent="0.25">
      <c r="A1078" s="4">
        <v>27</v>
      </c>
      <c r="B1078" s="4">
        <v>1</v>
      </c>
      <c r="C1078" s="4" t="s">
        <v>46</v>
      </c>
      <c r="D1078" s="4" t="s">
        <v>7</v>
      </c>
    </row>
    <row r="1079" spans="1:4" x14ac:dyDescent="0.25">
      <c r="A1079" s="4">
        <v>27</v>
      </c>
      <c r="B1079" s="4">
        <v>0</v>
      </c>
      <c r="C1079" s="4" t="s">
        <v>47</v>
      </c>
      <c r="D1079" s="4" t="s">
        <v>7</v>
      </c>
    </row>
    <row r="1080" spans="1:4" x14ac:dyDescent="0.25">
      <c r="A1080" s="4">
        <v>27</v>
      </c>
      <c r="B1080" s="4">
        <v>0</v>
      </c>
      <c r="C1080" s="4" t="s">
        <v>48</v>
      </c>
      <c r="D1080" s="4" t="s">
        <v>7</v>
      </c>
    </row>
    <row r="1081" spans="1:4" x14ac:dyDescent="0.25">
      <c r="A1081" s="4">
        <v>27</v>
      </c>
      <c r="B1081" s="4">
        <v>0</v>
      </c>
      <c r="C1081" s="4" t="s">
        <v>49</v>
      </c>
      <c r="D1081" s="4" t="s">
        <v>7</v>
      </c>
    </row>
    <row r="1082" spans="1:4" x14ac:dyDescent="0.25">
      <c r="A1082" s="4">
        <v>28</v>
      </c>
      <c r="B1082" s="4">
        <v>0</v>
      </c>
      <c r="C1082" s="4" t="s">
        <v>40</v>
      </c>
      <c r="D1082" s="4" t="s">
        <v>4</v>
      </c>
    </row>
    <row r="1083" spans="1:4" x14ac:dyDescent="0.25">
      <c r="A1083" s="4">
        <v>28</v>
      </c>
      <c r="B1083" s="4">
        <v>0</v>
      </c>
      <c r="C1083" s="4" t="s">
        <v>41</v>
      </c>
      <c r="D1083" s="4" t="s">
        <v>4</v>
      </c>
    </row>
    <row r="1084" spans="1:4" x14ac:dyDescent="0.25">
      <c r="A1084" s="4">
        <v>28</v>
      </c>
      <c r="B1084" s="4">
        <v>0</v>
      </c>
      <c r="C1084" s="4" t="s">
        <v>42</v>
      </c>
      <c r="D1084" s="4" t="s">
        <v>4</v>
      </c>
    </row>
    <row r="1085" spans="1:4" x14ac:dyDescent="0.25">
      <c r="A1085" s="4">
        <v>28</v>
      </c>
      <c r="B1085" s="4">
        <v>1</v>
      </c>
      <c r="C1085" s="4" t="s">
        <v>43</v>
      </c>
      <c r="D1085" s="4" t="s">
        <v>4</v>
      </c>
    </row>
    <row r="1086" spans="1:4" x14ac:dyDescent="0.25">
      <c r="A1086" s="4">
        <v>28</v>
      </c>
      <c r="B1086" s="4">
        <v>0</v>
      </c>
      <c r="C1086" s="4" t="s">
        <v>44</v>
      </c>
      <c r="D1086" s="4" t="s">
        <v>4</v>
      </c>
    </row>
    <row r="1087" spans="1:4" x14ac:dyDescent="0.25">
      <c r="A1087" s="4">
        <v>28</v>
      </c>
      <c r="B1087" s="4">
        <v>1</v>
      </c>
      <c r="C1087" s="4" t="s">
        <v>45</v>
      </c>
      <c r="D1087" s="4" t="s">
        <v>4</v>
      </c>
    </row>
    <row r="1088" spans="1:4" x14ac:dyDescent="0.25">
      <c r="A1088" s="4">
        <v>28</v>
      </c>
      <c r="B1088" s="4">
        <v>0</v>
      </c>
      <c r="C1088" s="4" t="s">
        <v>46</v>
      </c>
      <c r="D1088" s="4" t="s">
        <v>4</v>
      </c>
    </row>
    <row r="1089" spans="1:4" x14ac:dyDescent="0.25">
      <c r="A1089" s="4">
        <v>28</v>
      </c>
      <c r="B1089" s="4">
        <v>0</v>
      </c>
      <c r="C1089" s="4" t="s">
        <v>47</v>
      </c>
      <c r="D1089" s="4" t="s">
        <v>4</v>
      </c>
    </row>
    <row r="1090" spans="1:4" x14ac:dyDescent="0.25">
      <c r="A1090" s="4">
        <v>28</v>
      </c>
      <c r="B1090" s="4">
        <v>0</v>
      </c>
      <c r="C1090" s="4" t="s">
        <v>48</v>
      </c>
      <c r="D1090" s="4" t="s">
        <v>4</v>
      </c>
    </row>
    <row r="1091" spans="1:4" x14ac:dyDescent="0.25">
      <c r="A1091" s="4">
        <v>28</v>
      </c>
      <c r="B1091" s="4">
        <v>0</v>
      </c>
      <c r="C1091" s="4" t="s">
        <v>49</v>
      </c>
      <c r="D1091" s="4" t="s">
        <v>4</v>
      </c>
    </row>
    <row r="1092" spans="1:4" x14ac:dyDescent="0.25">
      <c r="A1092" s="4">
        <v>28</v>
      </c>
      <c r="B1092" s="4">
        <v>0</v>
      </c>
      <c r="C1092" s="4" t="s">
        <v>40</v>
      </c>
      <c r="D1092" s="4" t="s">
        <v>5</v>
      </c>
    </row>
    <row r="1093" spans="1:4" x14ac:dyDescent="0.25">
      <c r="A1093" s="4">
        <v>28</v>
      </c>
      <c r="B1093" s="4">
        <v>0</v>
      </c>
      <c r="C1093" s="4" t="s">
        <v>41</v>
      </c>
      <c r="D1093" s="4" t="s">
        <v>5</v>
      </c>
    </row>
    <row r="1094" spans="1:4" x14ac:dyDescent="0.25">
      <c r="A1094" s="4">
        <v>28</v>
      </c>
      <c r="B1094" s="4">
        <v>1</v>
      </c>
      <c r="C1094" s="4" t="s">
        <v>42</v>
      </c>
      <c r="D1094" s="4" t="s">
        <v>5</v>
      </c>
    </row>
    <row r="1095" spans="1:4" x14ac:dyDescent="0.25">
      <c r="A1095" s="4">
        <v>28</v>
      </c>
      <c r="B1095" s="4">
        <v>0</v>
      </c>
      <c r="C1095" s="4" t="s">
        <v>43</v>
      </c>
      <c r="D1095" s="4" t="s">
        <v>5</v>
      </c>
    </row>
    <row r="1096" spans="1:4" x14ac:dyDescent="0.25">
      <c r="A1096" s="4">
        <v>28</v>
      </c>
      <c r="B1096" s="4">
        <v>1</v>
      </c>
      <c r="C1096" s="4" t="s">
        <v>44</v>
      </c>
      <c r="D1096" s="4" t="s">
        <v>5</v>
      </c>
    </row>
    <row r="1097" spans="1:4" x14ac:dyDescent="0.25">
      <c r="A1097" s="4">
        <v>28</v>
      </c>
      <c r="B1097" s="4">
        <v>0</v>
      </c>
      <c r="C1097" s="4" t="s">
        <v>45</v>
      </c>
      <c r="D1097" s="4" t="s">
        <v>5</v>
      </c>
    </row>
    <row r="1098" spans="1:4" x14ac:dyDescent="0.25">
      <c r="A1098" s="4">
        <v>28</v>
      </c>
      <c r="B1098" s="4">
        <v>0</v>
      </c>
      <c r="C1098" s="4" t="s">
        <v>46</v>
      </c>
      <c r="D1098" s="4" t="s">
        <v>5</v>
      </c>
    </row>
    <row r="1099" spans="1:4" x14ac:dyDescent="0.25">
      <c r="A1099" s="4">
        <v>28</v>
      </c>
      <c r="B1099" s="4">
        <v>1</v>
      </c>
      <c r="C1099" s="4" t="s">
        <v>47</v>
      </c>
      <c r="D1099" s="4" t="s">
        <v>5</v>
      </c>
    </row>
    <row r="1100" spans="1:4" x14ac:dyDescent="0.25">
      <c r="A1100" s="4">
        <v>28</v>
      </c>
      <c r="B1100" s="4">
        <v>0</v>
      </c>
      <c r="C1100" s="4" t="s">
        <v>48</v>
      </c>
      <c r="D1100" s="4" t="s">
        <v>5</v>
      </c>
    </row>
    <row r="1101" spans="1:4" x14ac:dyDescent="0.25">
      <c r="A1101" s="4">
        <v>28</v>
      </c>
      <c r="B1101" s="4">
        <v>1</v>
      </c>
      <c r="C1101" s="4" t="s">
        <v>49</v>
      </c>
      <c r="D1101" s="4" t="s">
        <v>5</v>
      </c>
    </row>
    <row r="1102" spans="1:4" x14ac:dyDescent="0.25">
      <c r="A1102" s="4">
        <v>28</v>
      </c>
      <c r="B1102" s="4">
        <v>1</v>
      </c>
      <c r="C1102" s="4" t="s">
        <v>40</v>
      </c>
      <c r="D1102" s="4" t="s">
        <v>6</v>
      </c>
    </row>
    <row r="1103" spans="1:4" x14ac:dyDescent="0.25">
      <c r="A1103" s="4">
        <v>28</v>
      </c>
      <c r="B1103" s="4">
        <v>1</v>
      </c>
      <c r="C1103" s="4" t="s">
        <v>41</v>
      </c>
      <c r="D1103" s="4" t="s">
        <v>6</v>
      </c>
    </row>
    <row r="1104" spans="1:4" x14ac:dyDescent="0.25">
      <c r="A1104" s="4">
        <v>28</v>
      </c>
      <c r="B1104" s="4">
        <v>0</v>
      </c>
      <c r="C1104" s="4" t="s">
        <v>42</v>
      </c>
      <c r="D1104" s="4" t="s">
        <v>6</v>
      </c>
    </row>
    <row r="1105" spans="1:4" x14ac:dyDescent="0.25">
      <c r="A1105" s="4">
        <v>28</v>
      </c>
      <c r="B1105" s="4">
        <v>0</v>
      </c>
      <c r="C1105" s="4" t="s">
        <v>43</v>
      </c>
      <c r="D1105" s="4" t="s">
        <v>6</v>
      </c>
    </row>
    <row r="1106" spans="1:4" x14ac:dyDescent="0.25">
      <c r="A1106" s="4">
        <v>28</v>
      </c>
      <c r="B1106" s="4">
        <v>0</v>
      </c>
      <c r="C1106" s="4" t="s">
        <v>44</v>
      </c>
      <c r="D1106" s="4" t="s">
        <v>6</v>
      </c>
    </row>
    <row r="1107" spans="1:4" x14ac:dyDescent="0.25">
      <c r="A1107" s="4">
        <v>28</v>
      </c>
      <c r="B1107" s="4">
        <v>0</v>
      </c>
      <c r="C1107" s="4" t="s">
        <v>45</v>
      </c>
      <c r="D1107" s="4" t="s">
        <v>6</v>
      </c>
    </row>
    <row r="1108" spans="1:4" x14ac:dyDescent="0.25">
      <c r="A1108" s="4">
        <v>28</v>
      </c>
      <c r="B1108" s="4">
        <v>0</v>
      </c>
      <c r="C1108" s="4" t="s">
        <v>46</v>
      </c>
      <c r="D1108" s="4" t="s">
        <v>6</v>
      </c>
    </row>
    <row r="1109" spans="1:4" x14ac:dyDescent="0.25">
      <c r="A1109" s="4">
        <v>28</v>
      </c>
      <c r="B1109" s="4">
        <v>0</v>
      </c>
      <c r="C1109" s="4" t="s">
        <v>47</v>
      </c>
      <c r="D1109" s="4" t="s">
        <v>6</v>
      </c>
    </row>
    <row r="1110" spans="1:4" x14ac:dyDescent="0.25">
      <c r="A1110" s="4">
        <v>28</v>
      </c>
      <c r="B1110" s="4">
        <v>1</v>
      </c>
      <c r="C1110" s="4" t="s">
        <v>48</v>
      </c>
      <c r="D1110" s="4" t="s">
        <v>6</v>
      </c>
    </row>
    <row r="1111" spans="1:4" x14ac:dyDescent="0.25">
      <c r="A1111" s="4">
        <v>28</v>
      </c>
      <c r="B1111" s="4">
        <v>0</v>
      </c>
      <c r="C1111" s="4" t="s">
        <v>49</v>
      </c>
      <c r="D1111" s="4" t="s">
        <v>6</v>
      </c>
    </row>
    <row r="1112" spans="1:4" x14ac:dyDescent="0.25">
      <c r="A1112" s="4">
        <v>28</v>
      </c>
      <c r="B1112" s="4">
        <v>0</v>
      </c>
      <c r="C1112" s="4" t="s">
        <v>40</v>
      </c>
      <c r="D1112" s="4" t="s">
        <v>7</v>
      </c>
    </row>
    <row r="1113" spans="1:4" x14ac:dyDescent="0.25">
      <c r="A1113" s="4">
        <v>28</v>
      </c>
      <c r="B1113" s="4">
        <v>0</v>
      </c>
      <c r="C1113" s="4" t="s">
        <v>41</v>
      </c>
      <c r="D1113" s="4" t="s">
        <v>7</v>
      </c>
    </row>
    <row r="1114" spans="1:4" x14ac:dyDescent="0.25">
      <c r="A1114" s="4">
        <v>28</v>
      </c>
      <c r="B1114" s="4">
        <v>0</v>
      </c>
      <c r="C1114" s="4" t="s">
        <v>42</v>
      </c>
      <c r="D1114" s="4" t="s">
        <v>7</v>
      </c>
    </row>
    <row r="1115" spans="1:4" x14ac:dyDescent="0.25">
      <c r="A1115" s="4">
        <v>28</v>
      </c>
      <c r="B1115" s="4">
        <v>0</v>
      </c>
      <c r="C1115" s="4" t="s">
        <v>43</v>
      </c>
      <c r="D1115" s="4" t="s">
        <v>7</v>
      </c>
    </row>
    <row r="1116" spans="1:4" x14ac:dyDescent="0.25">
      <c r="A1116" s="4">
        <v>28</v>
      </c>
      <c r="B1116" s="4">
        <v>0</v>
      </c>
      <c r="C1116" s="4" t="s">
        <v>44</v>
      </c>
      <c r="D1116" s="4" t="s">
        <v>7</v>
      </c>
    </row>
    <row r="1117" spans="1:4" x14ac:dyDescent="0.25">
      <c r="A1117" s="4">
        <v>28</v>
      </c>
      <c r="B1117" s="4">
        <v>0</v>
      </c>
      <c r="C1117" s="4" t="s">
        <v>45</v>
      </c>
      <c r="D1117" s="4" t="s">
        <v>7</v>
      </c>
    </row>
    <row r="1118" spans="1:4" x14ac:dyDescent="0.25">
      <c r="A1118" s="4">
        <v>28</v>
      </c>
      <c r="B1118" s="4">
        <v>1</v>
      </c>
      <c r="C1118" s="4" t="s">
        <v>46</v>
      </c>
      <c r="D1118" s="4" t="s">
        <v>7</v>
      </c>
    </row>
    <row r="1119" spans="1:4" x14ac:dyDescent="0.25">
      <c r="A1119" s="4">
        <v>28</v>
      </c>
      <c r="B1119" s="4">
        <v>0</v>
      </c>
      <c r="C1119" s="4" t="s">
        <v>47</v>
      </c>
      <c r="D1119" s="4" t="s">
        <v>7</v>
      </c>
    </row>
    <row r="1120" spans="1:4" x14ac:dyDescent="0.25">
      <c r="A1120" s="4">
        <v>28</v>
      </c>
      <c r="B1120" s="4">
        <v>0</v>
      </c>
      <c r="C1120" s="4" t="s">
        <v>48</v>
      </c>
      <c r="D1120" s="4" t="s">
        <v>7</v>
      </c>
    </row>
    <row r="1121" spans="1:4" x14ac:dyDescent="0.25">
      <c r="A1121" s="4">
        <v>28</v>
      </c>
      <c r="B1121" s="4">
        <v>0</v>
      </c>
      <c r="C1121" s="4" t="s">
        <v>49</v>
      </c>
      <c r="D1121" s="4" t="s">
        <v>7</v>
      </c>
    </row>
    <row r="1122" spans="1:4" x14ac:dyDescent="0.25">
      <c r="A1122" s="4">
        <v>29</v>
      </c>
      <c r="B1122" s="4">
        <v>1</v>
      </c>
      <c r="C1122" s="4" t="s">
        <v>40</v>
      </c>
      <c r="D1122" s="4" t="s">
        <v>4</v>
      </c>
    </row>
    <row r="1123" spans="1:4" x14ac:dyDescent="0.25">
      <c r="A1123" s="4">
        <v>29</v>
      </c>
      <c r="B1123" s="4">
        <v>0</v>
      </c>
      <c r="C1123" s="4" t="s">
        <v>41</v>
      </c>
      <c r="D1123" s="4" t="s">
        <v>4</v>
      </c>
    </row>
    <row r="1124" spans="1:4" x14ac:dyDescent="0.25">
      <c r="A1124" s="4">
        <v>29</v>
      </c>
      <c r="B1124" s="4">
        <v>1</v>
      </c>
      <c r="C1124" s="4" t="s">
        <v>42</v>
      </c>
      <c r="D1124" s="4" t="s">
        <v>4</v>
      </c>
    </row>
    <row r="1125" spans="1:4" x14ac:dyDescent="0.25">
      <c r="A1125" s="4">
        <v>29</v>
      </c>
      <c r="B1125" s="4">
        <v>1</v>
      </c>
      <c r="C1125" s="4" t="s">
        <v>43</v>
      </c>
      <c r="D1125" s="4" t="s">
        <v>4</v>
      </c>
    </row>
    <row r="1126" spans="1:4" x14ac:dyDescent="0.25">
      <c r="A1126" s="4">
        <v>29</v>
      </c>
      <c r="B1126" s="4">
        <v>0</v>
      </c>
      <c r="C1126" s="4" t="s">
        <v>44</v>
      </c>
      <c r="D1126" s="4" t="s">
        <v>4</v>
      </c>
    </row>
    <row r="1127" spans="1:4" x14ac:dyDescent="0.25">
      <c r="A1127" s="4">
        <v>29</v>
      </c>
      <c r="B1127" s="4">
        <v>0</v>
      </c>
      <c r="C1127" s="4" t="s">
        <v>45</v>
      </c>
      <c r="D1127" s="4" t="s">
        <v>4</v>
      </c>
    </row>
    <row r="1128" spans="1:4" x14ac:dyDescent="0.25">
      <c r="A1128" s="4">
        <v>29</v>
      </c>
      <c r="B1128" s="4">
        <v>0</v>
      </c>
      <c r="C1128" s="4" t="s">
        <v>46</v>
      </c>
      <c r="D1128" s="4" t="s">
        <v>4</v>
      </c>
    </row>
    <row r="1129" spans="1:4" x14ac:dyDescent="0.25">
      <c r="A1129" s="4">
        <v>29</v>
      </c>
      <c r="B1129" s="4">
        <v>0</v>
      </c>
      <c r="C1129" s="4" t="s">
        <v>47</v>
      </c>
      <c r="D1129" s="4" t="s">
        <v>4</v>
      </c>
    </row>
    <row r="1130" spans="1:4" x14ac:dyDescent="0.25">
      <c r="A1130" s="4">
        <v>29</v>
      </c>
      <c r="B1130" s="4">
        <v>0</v>
      </c>
      <c r="C1130" s="4" t="s">
        <v>48</v>
      </c>
      <c r="D1130" s="4" t="s">
        <v>4</v>
      </c>
    </row>
    <row r="1131" spans="1:4" x14ac:dyDescent="0.25">
      <c r="A1131" s="4">
        <v>29</v>
      </c>
      <c r="B1131" s="4">
        <v>0</v>
      </c>
      <c r="C1131" s="4" t="s">
        <v>49</v>
      </c>
      <c r="D1131" s="4" t="s">
        <v>4</v>
      </c>
    </row>
    <row r="1132" spans="1:4" x14ac:dyDescent="0.25">
      <c r="A1132" s="4">
        <v>29</v>
      </c>
      <c r="B1132" s="4">
        <v>0</v>
      </c>
      <c r="C1132" s="4" t="s">
        <v>40</v>
      </c>
      <c r="D1132" s="4" t="s">
        <v>5</v>
      </c>
    </row>
    <row r="1133" spans="1:4" x14ac:dyDescent="0.25">
      <c r="A1133" s="4">
        <v>29</v>
      </c>
      <c r="B1133" s="4">
        <v>0</v>
      </c>
      <c r="C1133" s="4" t="s">
        <v>41</v>
      </c>
      <c r="D1133" s="4" t="s">
        <v>5</v>
      </c>
    </row>
    <row r="1134" spans="1:4" x14ac:dyDescent="0.25">
      <c r="A1134" s="4">
        <v>29</v>
      </c>
      <c r="B1134" s="4">
        <v>0</v>
      </c>
      <c r="C1134" s="4" t="s">
        <v>42</v>
      </c>
      <c r="D1134" s="4" t="s">
        <v>5</v>
      </c>
    </row>
    <row r="1135" spans="1:4" x14ac:dyDescent="0.25">
      <c r="A1135" s="4">
        <v>29</v>
      </c>
      <c r="B1135" s="4">
        <v>0</v>
      </c>
      <c r="C1135" s="4" t="s">
        <v>43</v>
      </c>
      <c r="D1135" s="4" t="s">
        <v>5</v>
      </c>
    </row>
    <row r="1136" spans="1:4" x14ac:dyDescent="0.25">
      <c r="A1136" s="4">
        <v>29</v>
      </c>
      <c r="B1136" s="4">
        <v>1</v>
      </c>
      <c r="C1136" s="4" t="s">
        <v>44</v>
      </c>
      <c r="D1136" s="4" t="s">
        <v>5</v>
      </c>
    </row>
    <row r="1137" spans="1:4" x14ac:dyDescent="0.25">
      <c r="A1137" s="4">
        <v>29</v>
      </c>
      <c r="B1137" s="4">
        <v>1</v>
      </c>
      <c r="C1137" s="4" t="s">
        <v>45</v>
      </c>
      <c r="D1137" s="4" t="s">
        <v>5</v>
      </c>
    </row>
    <row r="1138" spans="1:4" x14ac:dyDescent="0.25">
      <c r="A1138" s="4">
        <v>29</v>
      </c>
      <c r="B1138" s="4">
        <v>0</v>
      </c>
      <c r="C1138" s="4" t="s">
        <v>46</v>
      </c>
      <c r="D1138" s="4" t="s">
        <v>5</v>
      </c>
    </row>
    <row r="1139" spans="1:4" x14ac:dyDescent="0.25">
      <c r="A1139" s="4">
        <v>29</v>
      </c>
      <c r="B1139" s="4">
        <v>1</v>
      </c>
      <c r="C1139" s="4" t="s">
        <v>47</v>
      </c>
      <c r="D1139" s="4" t="s">
        <v>5</v>
      </c>
    </row>
    <row r="1140" spans="1:4" x14ac:dyDescent="0.25">
      <c r="A1140" s="4">
        <v>29</v>
      </c>
      <c r="B1140" s="4">
        <v>0</v>
      </c>
      <c r="C1140" s="4" t="s">
        <v>48</v>
      </c>
      <c r="D1140" s="4" t="s">
        <v>5</v>
      </c>
    </row>
    <row r="1141" spans="1:4" x14ac:dyDescent="0.25">
      <c r="A1141" s="4">
        <v>29</v>
      </c>
      <c r="B1141" s="4">
        <v>0</v>
      </c>
      <c r="C1141" s="4" t="s">
        <v>49</v>
      </c>
      <c r="D1141" s="4" t="s">
        <v>5</v>
      </c>
    </row>
    <row r="1142" spans="1:4" x14ac:dyDescent="0.25">
      <c r="A1142" s="4">
        <v>29</v>
      </c>
      <c r="B1142" s="4">
        <v>0</v>
      </c>
      <c r="C1142" s="4" t="s">
        <v>40</v>
      </c>
      <c r="D1142" s="4" t="s">
        <v>6</v>
      </c>
    </row>
    <row r="1143" spans="1:4" x14ac:dyDescent="0.25">
      <c r="A1143" s="4">
        <v>29</v>
      </c>
      <c r="B1143" s="4">
        <v>1</v>
      </c>
      <c r="C1143" s="4" t="s">
        <v>41</v>
      </c>
      <c r="D1143" s="4" t="s">
        <v>6</v>
      </c>
    </row>
    <row r="1144" spans="1:4" x14ac:dyDescent="0.25">
      <c r="A1144" s="4">
        <v>29</v>
      </c>
      <c r="B1144" s="4">
        <v>0</v>
      </c>
      <c r="C1144" s="4" t="s">
        <v>42</v>
      </c>
      <c r="D1144" s="4" t="s">
        <v>6</v>
      </c>
    </row>
    <row r="1145" spans="1:4" x14ac:dyDescent="0.25">
      <c r="A1145" s="4">
        <v>29</v>
      </c>
      <c r="B1145" s="4">
        <v>0</v>
      </c>
      <c r="C1145" s="4" t="s">
        <v>43</v>
      </c>
      <c r="D1145" s="4" t="s">
        <v>6</v>
      </c>
    </row>
    <row r="1146" spans="1:4" x14ac:dyDescent="0.25">
      <c r="A1146" s="4">
        <v>29</v>
      </c>
      <c r="B1146" s="4">
        <v>0</v>
      </c>
      <c r="C1146" s="4" t="s">
        <v>44</v>
      </c>
      <c r="D1146" s="4" t="s">
        <v>6</v>
      </c>
    </row>
    <row r="1147" spans="1:4" x14ac:dyDescent="0.25">
      <c r="A1147" s="4">
        <v>29</v>
      </c>
      <c r="B1147" s="4">
        <v>0</v>
      </c>
      <c r="C1147" s="4" t="s">
        <v>45</v>
      </c>
      <c r="D1147" s="4" t="s">
        <v>6</v>
      </c>
    </row>
    <row r="1148" spans="1:4" x14ac:dyDescent="0.25">
      <c r="A1148" s="4">
        <v>29</v>
      </c>
      <c r="B1148" s="4">
        <v>0</v>
      </c>
      <c r="C1148" s="4" t="s">
        <v>46</v>
      </c>
      <c r="D1148" s="4" t="s">
        <v>6</v>
      </c>
    </row>
    <row r="1149" spans="1:4" x14ac:dyDescent="0.25">
      <c r="A1149" s="4">
        <v>29</v>
      </c>
      <c r="B1149" s="4">
        <v>0</v>
      </c>
      <c r="C1149" s="4" t="s">
        <v>47</v>
      </c>
      <c r="D1149" s="4" t="s">
        <v>6</v>
      </c>
    </row>
    <row r="1150" spans="1:4" x14ac:dyDescent="0.25">
      <c r="A1150" s="4">
        <v>29</v>
      </c>
      <c r="B1150" s="4">
        <v>1</v>
      </c>
      <c r="C1150" s="4" t="s">
        <v>48</v>
      </c>
      <c r="D1150" s="4" t="s">
        <v>6</v>
      </c>
    </row>
    <row r="1151" spans="1:4" x14ac:dyDescent="0.25">
      <c r="A1151" s="4">
        <v>29</v>
      </c>
      <c r="B1151" s="4">
        <v>1</v>
      </c>
      <c r="C1151" s="4" t="s">
        <v>49</v>
      </c>
      <c r="D1151" s="4" t="s">
        <v>6</v>
      </c>
    </row>
    <row r="1152" spans="1:4" x14ac:dyDescent="0.25">
      <c r="A1152" s="4">
        <v>29</v>
      </c>
      <c r="B1152" s="4">
        <v>0</v>
      </c>
      <c r="C1152" s="4" t="s">
        <v>40</v>
      </c>
      <c r="D1152" s="4" t="s">
        <v>7</v>
      </c>
    </row>
    <row r="1153" spans="1:4" x14ac:dyDescent="0.25">
      <c r="A1153" s="4">
        <v>29</v>
      </c>
      <c r="B1153" s="4">
        <v>0</v>
      </c>
      <c r="C1153" s="4" t="s">
        <v>41</v>
      </c>
      <c r="D1153" s="4" t="s">
        <v>7</v>
      </c>
    </row>
    <row r="1154" spans="1:4" x14ac:dyDescent="0.25">
      <c r="A1154" s="4">
        <v>29</v>
      </c>
      <c r="B1154" s="4">
        <v>0</v>
      </c>
      <c r="C1154" s="4" t="s">
        <v>42</v>
      </c>
      <c r="D1154" s="4" t="s">
        <v>7</v>
      </c>
    </row>
    <row r="1155" spans="1:4" x14ac:dyDescent="0.25">
      <c r="A1155" s="4">
        <v>29</v>
      </c>
      <c r="B1155" s="4">
        <v>0</v>
      </c>
      <c r="C1155" s="4" t="s">
        <v>43</v>
      </c>
      <c r="D1155" s="4" t="s">
        <v>7</v>
      </c>
    </row>
    <row r="1156" spans="1:4" x14ac:dyDescent="0.25">
      <c r="A1156" s="4">
        <v>29</v>
      </c>
      <c r="B1156" s="4">
        <v>0</v>
      </c>
      <c r="C1156" s="4" t="s">
        <v>44</v>
      </c>
      <c r="D1156" s="4" t="s">
        <v>7</v>
      </c>
    </row>
    <row r="1157" spans="1:4" x14ac:dyDescent="0.25">
      <c r="A1157" s="4">
        <v>29</v>
      </c>
      <c r="B1157" s="4">
        <v>0</v>
      </c>
      <c r="C1157" s="4" t="s">
        <v>45</v>
      </c>
      <c r="D1157" s="4" t="s">
        <v>7</v>
      </c>
    </row>
    <row r="1158" spans="1:4" x14ac:dyDescent="0.25">
      <c r="A1158" s="4">
        <v>29</v>
      </c>
      <c r="B1158" s="4">
        <v>1</v>
      </c>
      <c r="C1158" s="4" t="s">
        <v>46</v>
      </c>
      <c r="D1158" s="4" t="s">
        <v>7</v>
      </c>
    </row>
    <row r="1159" spans="1:4" x14ac:dyDescent="0.25">
      <c r="A1159" s="4">
        <v>29</v>
      </c>
      <c r="B1159" s="4">
        <v>0</v>
      </c>
      <c r="C1159" s="4" t="s">
        <v>47</v>
      </c>
      <c r="D1159" s="4" t="s">
        <v>7</v>
      </c>
    </row>
    <row r="1160" spans="1:4" x14ac:dyDescent="0.25">
      <c r="A1160" s="4">
        <v>29</v>
      </c>
      <c r="B1160" s="4">
        <v>0</v>
      </c>
      <c r="C1160" s="4" t="s">
        <v>48</v>
      </c>
      <c r="D1160" s="4" t="s">
        <v>7</v>
      </c>
    </row>
    <row r="1161" spans="1:4" x14ac:dyDescent="0.25">
      <c r="A1161" s="4">
        <v>29</v>
      </c>
      <c r="B1161" s="4">
        <v>0</v>
      </c>
      <c r="C1161" s="4" t="s">
        <v>49</v>
      </c>
      <c r="D1161" s="4" t="s">
        <v>7</v>
      </c>
    </row>
    <row r="1162" spans="1:4" x14ac:dyDescent="0.25">
      <c r="A1162" s="4">
        <v>30</v>
      </c>
      <c r="B1162" s="4">
        <v>0</v>
      </c>
      <c r="C1162" s="4" t="s">
        <v>40</v>
      </c>
      <c r="D1162" s="4" t="s">
        <v>4</v>
      </c>
    </row>
    <row r="1163" spans="1:4" x14ac:dyDescent="0.25">
      <c r="A1163" s="4">
        <v>30</v>
      </c>
      <c r="B1163" s="4">
        <v>0</v>
      </c>
      <c r="C1163" s="4" t="s">
        <v>41</v>
      </c>
      <c r="D1163" s="4" t="s">
        <v>4</v>
      </c>
    </row>
    <row r="1164" spans="1:4" x14ac:dyDescent="0.25">
      <c r="A1164" s="4">
        <v>30</v>
      </c>
      <c r="B1164" s="4">
        <v>0</v>
      </c>
      <c r="C1164" s="4" t="s">
        <v>42</v>
      </c>
      <c r="D1164" s="4" t="s">
        <v>4</v>
      </c>
    </row>
    <row r="1165" spans="1:4" x14ac:dyDescent="0.25">
      <c r="A1165" s="4">
        <v>30</v>
      </c>
      <c r="B1165" s="4">
        <v>0</v>
      </c>
      <c r="C1165" s="4" t="s">
        <v>43</v>
      </c>
      <c r="D1165" s="4" t="s">
        <v>4</v>
      </c>
    </row>
    <row r="1166" spans="1:4" x14ac:dyDescent="0.25">
      <c r="A1166" s="4">
        <v>30</v>
      </c>
      <c r="B1166" s="4">
        <v>0</v>
      </c>
      <c r="C1166" s="4" t="s">
        <v>44</v>
      </c>
      <c r="D1166" s="4" t="s">
        <v>4</v>
      </c>
    </row>
    <row r="1167" spans="1:4" x14ac:dyDescent="0.25">
      <c r="A1167" s="4">
        <v>30</v>
      </c>
      <c r="B1167" s="4">
        <v>1</v>
      </c>
      <c r="C1167" s="4" t="s">
        <v>45</v>
      </c>
      <c r="D1167" s="4" t="s">
        <v>4</v>
      </c>
    </row>
    <row r="1168" spans="1:4" x14ac:dyDescent="0.25">
      <c r="A1168" s="4">
        <v>30</v>
      </c>
      <c r="B1168" s="4">
        <v>0</v>
      </c>
      <c r="C1168" s="4" t="s">
        <v>46</v>
      </c>
      <c r="D1168" s="4" t="s">
        <v>4</v>
      </c>
    </row>
    <row r="1169" spans="1:4" x14ac:dyDescent="0.25">
      <c r="A1169" s="4">
        <v>30</v>
      </c>
      <c r="B1169" s="4">
        <v>0</v>
      </c>
      <c r="C1169" s="4" t="s">
        <v>47</v>
      </c>
      <c r="D1169" s="4" t="s">
        <v>4</v>
      </c>
    </row>
    <row r="1170" spans="1:4" x14ac:dyDescent="0.25">
      <c r="A1170" s="4">
        <v>30</v>
      </c>
      <c r="B1170" s="4">
        <v>0</v>
      </c>
      <c r="C1170" s="4" t="s">
        <v>48</v>
      </c>
      <c r="D1170" s="4" t="s">
        <v>4</v>
      </c>
    </row>
    <row r="1171" spans="1:4" x14ac:dyDescent="0.25">
      <c r="A1171" s="4">
        <v>30</v>
      </c>
      <c r="B1171" s="4">
        <v>0</v>
      </c>
      <c r="C1171" s="4" t="s">
        <v>49</v>
      </c>
      <c r="D1171" s="4" t="s">
        <v>4</v>
      </c>
    </row>
    <row r="1172" spans="1:4" x14ac:dyDescent="0.25">
      <c r="A1172" s="4">
        <v>30</v>
      </c>
      <c r="B1172" s="4">
        <v>0</v>
      </c>
      <c r="C1172" s="4" t="s">
        <v>40</v>
      </c>
      <c r="D1172" s="4" t="s">
        <v>5</v>
      </c>
    </row>
    <row r="1173" spans="1:4" x14ac:dyDescent="0.25">
      <c r="A1173" s="4">
        <v>30</v>
      </c>
      <c r="B1173" s="4">
        <v>0</v>
      </c>
      <c r="C1173" s="4" t="s">
        <v>41</v>
      </c>
      <c r="D1173" s="4" t="s">
        <v>5</v>
      </c>
    </row>
    <row r="1174" spans="1:4" x14ac:dyDescent="0.25">
      <c r="A1174" s="4">
        <v>30</v>
      </c>
      <c r="B1174" s="4">
        <v>1</v>
      </c>
      <c r="C1174" s="4" t="s">
        <v>42</v>
      </c>
      <c r="D1174" s="4" t="s">
        <v>5</v>
      </c>
    </row>
    <row r="1175" spans="1:4" x14ac:dyDescent="0.25">
      <c r="A1175" s="4">
        <v>30</v>
      </c>
      <c r="B1175" s="4">
        <v>0</v>
      </c>
      <c r="C1175" s="4" t="s">
        <v>43</v>
      </c>
      <c r="D1175" s="4" t="s">
        <v>5</v>
      </c>
    </row>
    <row r="1176" spans="1:4" x14ac:dyDescent="0.25">
      <c r="A1176" s="4">
        <v>30</v>
      </c>
      <c r="B1176" s="4">
        <v>1</v>
      </c>
      <c r="C1176" s="4" t="s">
        <v>44</v>
      </c>
      <c r="D1176" s="4" t="s">
        <v>5</v>
      </c>
    </row>
    <row r="1177" spans="1:4" x14ac:dyDescent="0.25">
      <c r="A1177" s="4">
        <v>30</v>
      </c>
      <c r="B1177" s="4">
        <v>0</v>
      </c>
      <c r="C1177" s="4" t="s">
        <v>45</v>
      </c>
      <c r="D1177" s="4" t="s">
        <v>5</v>
      </c>
    </row>
    <row r="1178" spans="1:4" x14ac:dyDescent="0.25">
      <c r="A1178" s="4">
        <v>30</v>
      </c>
      <c r="B1178" s="4">
        <v>0</v>
      </c>
      <c r="C1178" s="4" t="s">
        <v>46</v>
      </c>
      <c r="D1178" s="4" t="s">
        <v>5</v>
      </c>
    </row>
    <row r="1179" spans="1:4" x14ac:dyDescent="0.25">
      <c r="A1179" s="4">
        <v>30</v>
      </c>
      <c r="B1179" s="4">
        <v>1</v>
      </c>
      <c r="C1179" s="4" t="s">
        <v>47</v>
      </c>
      <c r="D1179" s="4" t="s">
        <v>5</v>
      </c>
    </row>
    <row r="1180" spans="1:4" x14ac:dyDescent="0.25">
      <c r="A1180" s="4">
        <v>30</v>
      </c>
      <c r="B1180" s="4">
        <v>0</v>
      </c>
      <c r="C1180" s="4" t="s">
        <v>48</v>
      </c>
      <c r="D1180" s="4" t="s">
        <v>5</v>
      </c>
    </row>
    <row r="1181" spans="1:4" x14ac:dyDescent="0.25">
      <c r="A1181" s="4">
        <v>30</v>
      </c>
      <c r="B1181" s="4">
        <v>1</v>
      </c>
      <c r="C1181" s="4" t="s">
        <v>49</v>
      </c>
      <c r="D1181" s="4" t="s">
        <v>5</v>
      </c>
    </row>
    <row r="1182" spans="1:4" x14ac:dyDescent="0.25">
      <c r="A1182" s="4">
        <v>30</v>
      </c>
      <c r="B1182" s="4">
        <v>1</v>
      </c>
      <c r="C1182" s="4" t="s">
        <v>40</v>
      </c>
      <c r="D1182" s="4" t="s">
        <v>6</v>
      </c>
    </row>
    <row r="1183" spans="1:4" x14ac:dyDescent="0.25">
      <c r="A1183" s="4">
        <v>30</v>
      </c>
      <c r="B1183" s="4">
        <v>0</v>
      </c>
      <c r="C1183" s="4" t="s">
        <v>41</v>
      </c>
      <c r="D1183" s="4" t="s">
        <v>6</v>
      </c>
    </row>
    <row r="1184" spans="1:4" x14ac:dyDescent="0.25">
      <c r="A1184" s="4">
        <v>30</v>
      </c>
      <c r="B1184" s="4">
        <v>0</v>
      </c>
      <c r="C1184" s="4" t="s">
        <v>42</v>
      </c>
      <c r="D1184" s="4" t="s">
        <v>6</v>
      </c>
    </row>
    <row r="1185" spans="1:4" x14ac:dyDescent="0.25">
      <c r="A1185" s="4">
        <v>30</v>
      </c>
      <c r="B1185" s="4">
        <v>1</v>
      </c>
      <c r="C1185" s="4" t="s">
        <v>43</v>
      </c>
      <c r="D1185" s="4" t="s">
        <v>6</v>
      </c>
    </row>
    <row r="1186" spans="1:4" x14ac:dyDescent="0.25">
      <c r="A1186" s="4">
        <v>30</v>
      </c>
      <c r="B1186" s="4">
        <v>0</v>
      </c>
      <c r="C1186" s="4" t="s">
        <v>44</v>
      </c>
      <c r="D1186" s="4" t="s">
        <v>6</v>
      </c>
    </row>
    <row r="1187" spans="1:4" x14ac:dyDescent="0.25">
      <c r="A1187" s="4">
        <v>30</v>
      </c>
      <c r="B1187" s="4">
        <v>0</v>
      </c>
      <c r="C1187" s="4" t="s">
        <v>45</v>
      </c>
      <c r="D1187" s="4" t="s">
        <v>6</v>
      </c>
    </row>
    <row r="1188" spans="1:4" x14ac:dyDescent="0.25">
      <c r="A1188" s="4">
        <v>30</v>
      </c>
      <c r="B1188" s="4">
        <v>1</v>
      </c>
      <c r="C1188" s="4" t="s">
        <v>46</v>
      </c>
      <c r="D1188" s="4" t="s">
        <v>6</v>
      </c>
    </row>
    <row r="1189" spans="1:4" x14ac:dyDescent="0.25">
      <c r="A1189" s="4">
        <v>30</v>
      </c>
      <c r="B1189" s="4">
        <v>0</v>
      </c>
      <c r="C1189" s="4" t="s">
        <v>47</v>
      </c>
      <c r="D1189" s="4" t="s">
        <v>6</v>
      </c>
    </row>
    <row r="1190" spans="1:4" x14ac:dyDescent="0.25">
      <c r="A1190" s="4">
        <v>30</v>
      </c>
      <c r="B1190" s="4">
        <v>1</v>
      </c>
      <c r="C1190" s="4" t="s">
        <v>48</v>
      </c>
      <c r="D1190" s="4" t="s">
        <v>6</v>
      </c>
    </row>
    <row r="1191" spans="1:4" x14ac:dyDescent="0.25">
      <c r="A1191" s="4">
        <v>30</v>
      </c>
      <c r="B1191" s="4">
        <v>0</v>
      </c>
      <c r="C1191" s="4" t="s">
        <v>49</v>
      </c>
      <c r="D1191" s="4" t="s">
        <v>6</v>
      </c>
    </row>
    <row r="1192" spans="1:4" x14ac:dyDescent="0.25">
      <c r="A1192" s="4">
        <v>30</v>
      </c>
      <c r="B1192" s="4">
        <v>0</v>
      </c>
      <c r="C1192" s="4" t="s">
        <v>40</v>
      </c>
      <c r="D1192" s="4" t="s">
        <v>7</v>
      </c>
    </row>
    <row r="1193" spans="1:4" x14ac:dyDescent="0.25">
      <c r="A1193" s="4">
        <v>30</v>
      </c>
      <c r="B1193" s="4">
        <v>1</v>
      </c>
      <c r="C1193" s="4" t="s">
        <v>41</v>
      </c>
      <c r="D1193" s="4" t="s">
        <v>7</v>
      </c>
    </row>
    <row r="1194" spans="1:4" x14ac:dyDescent="0.25">
      <c r="A1194" s="4">
        <v>30</v>
      </c>
      <c r="B1194" s="4">
        <v>0</v>
      </c>
      <c r="C1194" s="4" t="s">
        <v>42</v>
      </c>
      <c r="D1194" s="4" t="s">
        <v>7</v>
      </c>
    </row>
    <row r="1195" spans="1:4" x14ac:dyDescent="0.25">
      <c r="A1195" s="4">
        <v>30</v>
      </c>
      <c r="B1195" s="4">
        <v>0</v>
      </c>
      <c r="C1195" s="4" t="s">
        <v>43</v>
      </c>
      <c r="D1195" s="4" t="s">
        <v>7</v>
      </c>
    </row>
    <row r="1196" spans="1:4" x14ac:dyDescent="0.25">
      <c r="A1196" s="4">
        <v>30</v>
      </c>
      <c r="B1196" s="4">
        <v>0</v>
      </c>
      <c r="C1196" s="4" t="s">
        <v>44</v>
      </c>
      <c r="D1196" s="4" t="s">
        <v>7</v>
      </c>
    </row>
    <row r="1197" spans="1:4" x14ac:dyDescent="0.25">
      <c r="A1197" s="4">
        <v>30</v>
      </c>
      <c r="B1197" s="4">
        <v>0</v>
      </c>
      <c r="C1197" s="4" t="s">
        <v>45</v>
      </c>
      <c r="D1197" s="4" t="s">
        <v>7</v>
      </c>
    </row>
    <row r="1198" spans="1:4" x14ac:dyDescent="0.25">
      <c r="A1198" s="4">
        <v>30</v>
      </c>
      <c r="B1198" s="4">
        <v>0</v>
      </c>
      <c r="C1198" s="4" t="s">
        <v>46</v>
      </c>
      <c r="D1198" s="4" t="s">
        <v>7</v>
      </c>
    </row>
    <row r="1199" spans="1:4" x14ac:dyDescent="0.25">
      <c r="A1199" s="4">
        <v>30</v>
      </c>
      <c r="B1199" s="4">
        <v>0</v>
      </c>
      <c r="C1199" s="4" t="s">
        <v>47</v>
      </c>
      <c r="D1199" s="4" t="s">
        <v>7</v>
      </c>
    </row>
    <row r="1200" spans="1:4" x14ac:dyDescent="0.25">
      <c r="A1200" s="4">
        <v>30</v>
      </c>
      <c r="B1200" s="4">
        <v>0</v>
      </c>
      <c r="C1200" s="4" t="s">
        <v>48</v>
      </c>
      <c r="D1200" s="4" t="s">
        <v>7</v>
      </c>
    </row>
    <row r="1201" spans="1:4" x14ac:dyDescent="0.25">
      <c r="A1201" s="4">
        <v>30</v>
      </c>
      <c r="B1201" s="4">
        <v>0</v>
      </c>
      <c r="C1201" s="4" t="s">
        <v>49</v>
      </c>
      <c r="D1201" s="4" t="s">
        <v>7</v>
      </c>
    </row>
    <row r="1202" spans="1:4" x14ac:dyDescent="0.25">
      <c r="A1202" s="4">
        <v>1</v>
      </c>
      <c r="B1202" s="4">
        <v>54.584320555032619</v>
      </c>
      <c r="C1202" s="4" t="s">
        <v>1</v>
      </c>
      <c r="D1202" s="4" t="s">
        <v>1</v>
      </c>
    </row>
    <row r="1203" spans="1:4" x14ac:dyDescent="0.25">
      <c r="A1203" s="4">
        <v>2</v>
      </c>
      <c r="B1203" s="4">
        <v>55.494594090971944</v>
      </c>
      <c r="C1203" s="4" t="s">
        <v>1</v>
      </c>
      <c r="D1203" s="4" t="s">
        <v>1</v>
      </c>
    </row>
    <row r="1204" spans="1:4" x14ac:dyDescent="0.25">
      <c r="A1204" s="4">
        <v>3</v>
      </c>
      <c r="B1204" s="4">
        <v>52.178809063399719</v>
      </c>
      <c r="C1204" s="4" t="s">
        <v>1</v>
      </c>
      <c r="D1204" s="4" t="s">
        <v>1</v>
      </c>
    </row>
    <row r="1205" spans="1:4" x14ac:dyDescent="0.25">
      <c r="A1205" s="4">
        <v>4</v>
      </c>
      <c r="B1205" s="4">
        <v>53.104835494788716</v>
      </c>
      <c r="C1205" s="4" t="s">
        <v>1</v>
      </c>
      <c r="D1205" s="4" t="s">
        <v>1</v>
      </c>
    </row>
    <row r="1206" spans="1:4" x14ac:dyDescent="0.25">
      <c r="A1206" s="4">
        <v>5</v>
      </c>
      <c r="B1206" s="4">
        <v>51.663911677227695</v>
      </c>
      <c r="C1206" s="4" t="s">
        <v>1</v>
      </c>
      <c r="D1206" s="4" t="s">
        <v>1</v>
      </c>
    </row>
    <row r="1207" spans="1:4" x14ac:dyDescent="0.25">
      <c r="A1207" s="4">
        <v>6</v>
      </c>
      <c r="B1207" s="4">
        <v>54.907616650433631</v>
      </c>
      <c r="C1207" s="4" t="s">
        <v>1</v>
      </c>
      <c r="D1207" s="4" t="s">
        <v>1</v>
      </c>
    </row>
    <row r="1208" spans="1:4" x14ac:dyDescent="0.25">
      <c r="A1208" s="4">
        <v>7</v>
      </c>
      <c r="B1208" s="4">
        <v>52.283112526484466</v>
      </c>
      <c r="C1208" s="4" t="s">
        <v>1</v>
      </c>
      <c r="D1208" s="4" t="s">
        <v>1</v>
      </c>
    </row>
    <row r="1209" spans="1:4" x14ac:dyDescent="0.25">
      <c r="A1209" s="4">
        <v>8</v>
      </c>
      <c r="B1209" s="4">
        <v>52.367725949350003</v>
      </c>
      <c r="C1209" s="4" t="s">
        <v>1</v>
      </c>
      <c r="D1209" s="4" t="s">
        <v>1</v>
      </c>
    </row>
    <row r="1210" spans="1:4" x14ac:dyDescent="0.25">
      <c r="A1210" s="4">
        <v>9</v>
      </c>
      <c r="B1210" s="4">
        <v>51.586332094885947</v>
      </c>
      <c r="C1210" s="4" t="s">
        <v>1</v>
      </c>
      <c r="D1210" s="4" t="s">
        <v>1</v>
      </c>
    </row>
    <row r="1211" spans="1:4" x14ac:dyDescent="0.25">
      <c r="A1211" s="4">
        <v>10</v>
      </c>
      <c r="B1211" s="4">
        <v>58.943575110769864</v>
      </c>
      <c r="C1211" s="4" t="s">
        <v>1</v>
      </c>
      <c r="D1211" s="4" t="s">
        <v>1</v>
      </c>
    </row>
    <row r="1212" spans="1:4" x14ac:dyDescent="0.25">
      <c r="A1212" s="4">
        <v>11</v>
      </c>
      <c r="B1212" s="4">
        <v>53.50351636938494</v>
      </c>
      <c r="C1212" s="4" t="s">
        <v>1</v>
      </c>
      <c r="D1212" s="4" t="s">
        <v>1</v>
      </c>
    </row>
    <row r="1213" spans="1:4" x14ac:dyDescent="0.25">
      <c r="A1213" s="4">
        <v>12</v>
      </c>
      <c r="B1213" s="4">
        <v>54.159274951147864</v>
      </c>
      <c r="C1213" s="4" t="s">
        <v>1</v>
      </c>
      <c r="D1213" s="4" t="s">
        <v>1</v>
      </c>
    </row>
    <row r="1214" spans="1:4" x14ac:dyDescent="0.25">
      <c r="A1214" s="4">
        <v>13</v>
      </c>
      <c r="B1214" s="4">
        <v>52.583209774473303</v>
      </c>
      <c r="C1214" s="4" t="s">
        <v>1</v>
      </c>
      <c r="D1214" s="4" t="s">
        <v>1</v>
      </c>
    </row>
    <row r="1215" spans="1:4" x14ac:dyDescent="0.25">
      <c r="A1215" s="4">
        <v>14</v>
      </c>
      <c r="B1215" s="4">
        <v>51.333264386548151</v>
      </c>
      <c r="C1215" s="4" t="s">
        <v>1</v>
      </c>
      <c r="D1215" s="4" t="s">
        <v>1</v>
      </c>
    </row>
    <row r="1216" spans="1:4" x14ac:dyDescent="0.25">
      <c r="A1216" s="4">
        <v>15</v>
      </c>
      <c r="B1216" s="4">
        <v>53.805358664757613</v>
      </c>
      <c r="C1216" s="4" t="s">
        <v>1</v>
      </c>
      <c r="D1216" s="4" t="s">
        <v>1</v>
      </c>
    </row>
    <row r="1217" spans="1:4" x14ac:dyDescent="0.25">
      <c r="A1217" s="4">
        <v>16</v>
      </c>
      <c r="B1217" s="4">
        <v>54.689117768250419</v>
      </c>
      <c r="C1217" s="4" t="s">
        <v>1</v>
      </c>
      <c r="D1217" s="4" t="s">
        <v>1</v>
      </c>
    </row>
    <row r="1218" spans="1:4" x14ac:dyDescent="0.25">
      <c r="A1218" s="4">
        <v>17</v>
      </c>
      <c r="B1218" s="4">
        <v>53.252105957459939</v>
      </c>
      <c r="C1218" s="4" t="s">
        <v>1</v>
      </c>
      <c r="D1218" s="4" t="s">
        <v>1</v>
      </c>
    </row>
    <row r="1219" spans="1:4" x14ac:dyDescent="0.25">
      <c r="A1219" s="4">
        <v>18</v>
      </c>
      <c r="B1219" s="4">
        <v>59.203878700048449</v>
      </c>
      <c r="C1219" s="4" t="s">
        <v>1</v>
      </c>
      <c r="D1219" s="4" t="s">
        <v>1</v>
      </c>
    </row>
    <row r="1220" spans="1:4" x14ac:dyDescent="0.25">
      <c r="A1220" s="4">
        <v>19</v>
      </c>
      <c r="B1220" s="4">
        <v>52.97343184700911</v>
      </c>
      <c r="C1220" s="4" t="s">
        <v>1</v>
      </c>
      <c r="D1220" s="4" t="s">
        <v>1</v>
      </c>
    </row>
    <row r="1221" spans="1:4" x14ac:dyDescent="0.25">
      <c r="A1221" s="4">
        <v>20</v>
      </c>
      <c r="B1221" s="4">
        <v>49.209672004574344</v>
      </c>
      <c r="C1221" s="4" t="s">
        <v>1</v>
      </c>
      <c r="D1221" s="4" t="s">
        <v>1</v>
      </c>
    </row>
    <row r="1222" spans="1:4" x14ac:dyDescent="0.25">
      <c r="A1222" s="4">
        <v>21</v>
      </c>
      <c r="B1222" s="4">
        <v>57.223037272893656</v>
      </c>
      <c r="C1222" s="4" t="s">
        <v>1</v>
      </c>
      <c r="D1222" s="4" t="s">
        <v>1</v>
      </c>
    </row>
    <row r="1223" spans="1:4" x14ac:dyDescent="0.25">
      <c r="A1223" s="4">
        <v>22</v>
      </c>
      <c r="B1223" s="4">
        <v>53.9682324458444</v>
      </c>
      <c r="C1223" s="4" t="s">
        <v>1</v>
      </c>
      <c r="D1223" s="4" t="s">
        <v>1</v>
      </c>
    </row>
    <row r="1224" spans="1:4" x14ac:dyDescent="0.25">
      <c r="A1224" s="4">
        <v>23</v>
      </c>
      <c r="B1224" s="4">
        <v>53.969248871581293</v>
      </c>
      <c r="C1224" s="4" t="s">
        <v>1</v>
      </c>
      <c r="D1224" s="4" t="s">
        <v>1</v>
      </c>
    </row>
    <row r="1225" spans="1:4" x14ac:dyDescent="0.25">
      <c r="A1225" s="4">
        <v>24</v>
      </c>
      <c r="B1225" s="4">
        <v>52.784610982219363</v>
      </c>
      <c r="C1225" s="4" t="s">
        <v>1</v>
      </c>
      <c r="D1225" s="4" t="s">
        <v>1</v>
      </c>
    </row>
    <row r="1226" spans="1:4" x14ac:dyDescent="0.25">
      <c r="A1226" s="4">
        <v>25</v>
      </c>
      <c r="B1226" s="4">
        <v>55.049163395672927</v>
      </c>
      <c r="C1226" s="4" t="s">
        <v>1</v>
      </c>
      <c r="D1226" s="4" t="s">
        <v>1</v>
      </c>
    </row>
    <row r="1227" spans="1:4" x14ac:dyDescent="0.25">
      <c r="A1227" s="4">
        <v>26</v>
      </c>
      <c r="B1227" s="4">
        <v>53.678480968935915</v>
      </c>
      <c r="C1227" s="4" t="s">
        <v>1</v>
      </c>
      <c r="D1227" s="4" t="s">
        <v>1</v>
      </c>
    </row>
    <row r="1228" spans="1:4" x14ac:dyDescent="0.25">
      <c r="A1228" s="4">
        <v>27</v>
      </c>
      <c r="B1228" s="4">
        <v>51.900599132509591</v>
      </c>
      <c r="C1228" s="4" t="s">
        <v>1</v>
      </c>
      <c r="D1228" s="4" t="s">
        <v>1</v>
      </c>
    </row>
    <row r="1229" spans="1:4" x14ac:dyDescent="0.25">
      <c r="A1229" s="4">
        <v>28</v>
      </c>
      <c r="B1229" s="4">
        <v>57.65183495998167</v>
      </c>
      <c r="C1229" s="4" t="s">
        <v>1</v>
      </c>
      <c r="D1229" s="4" t="s">
        <v>1</v>
      </c>
    </row>
    <row r="1230" spans="1:4" x14ac:dyDescent="0.25">
      <c r="A1230" s="4">
        <v>29</v>
      </c>
      <c r="B1230" s="4">
        <v>54.103246177902825</v>
      </c>
      <c r="C1230" s="4" t="s">
        <v>1</v>
      </c>
      <c r="D1230" s="4" t="s">
        <v>1</v>
      </c>
    </row>
    <row r="1231" spans="1:4" x14ac:dyDescent="0.25">
      <c r="A1231" s="4">
        <v>30</v>
      </c>
      <c r="B1231" s="4">
        <v>51.20234012876832</v>
      </c>
      <c r="C1231" s="4" t="s">
        <v>1</v>
      </c>
      <c r="D1231" s="4" t="s">
        <v>1</v>
      </c>
    </row>
    <row r="1232" spans="1:4" x14ac:dyDescent="0.25">
      <c r="A1232" s="4">
        <v>1</v>
      </c>
      <c r="B1232" s="4">
        <v>1311224243</v>
      </c>
      <c r="C1232" s="4" t="s">
        <v>56</v>
      </c>
      <c r="D1232" s="4" t="s">
        <v>56</v>
      </c>
    </row>
    <row r="1233" spans="1:4" x14ac:dyDescent="0.25">
      <c r="A1233" s="4">
        <v>2</v>
      </c>
      <c r="B1233" s="4">
        <v>2321214423</v>
      </c>
      <c r="C1233" s="4" t="s">
        <v>56</v>
      </c>
      <c r="D1233" s="4" t="s">
        <v>56</v>
      </c>
    </row>
    <row r="1234" spans="1:4" x14ac:dyDescent="0.25">
      <c r="A1234" s="4">
        <v>3</v>
      </c>
      <c r="B1234" s="4">
        <v>1411323232</v>
      </c>
      <c r="C1234" s="4" t="s">
        <v>56</v>
      </c>
      <c r="D1234" s="4" t="s">
        <v>56</v>
      </c>
    </row>
    <row r="1235" spans="1:4" x14ac:dyDescent="0.25">
      <c r="A1235" s="4">
        <v>4</v>
      </c>
      <c r="B1235" s="4">
        <v>2321214423</v>
      </c>
      <c r="C1235" s="4" t="s">
        <v>56</v>
      </c>
      <c r="D1235" s="4" t="s">
        <v>56</v>
      </c>
    </row>
    <row r="1236" spans="1:4" x14ac:dyDescent="0.25">
      <c r="A1236" s="4">
        <v>5</v>
      </c>
      <c r="B1236" s="4">
        <v>3323214212</v>
      </c>
      <c r="C1236" s="4" t="s">
        <v>56</v>
      </c>
      <c r="D1236" s="4" t="s">
        <v>56</v>
      </c>
    </row>
    <row r="1237" spans="1:4" x14ac:dyDescent="0.25">
      <c r="A1237" s="4">
        <v>6</v>
      </c>
      <c r="B1237" s="4">
        <v>2312124233</v>
      </c>
      <c r="C1237" s="4" t="s">
        <v>56</v>
      </c>
      <c r="D1237" s="4" t="s">
        <v>56</v>
      </c>
    </row>
    <row r="1238" spans="1:4" x14ac:dyDescent="0.25">
      <c r="A1238" s="4">
        <v>7</v>
      </c>
      <c r="B1238" s="4">
        <v>1322214233</v>
      </c>
      <c r="C1238" s="4" t="s">
        <v>56</v>
      </c>
      <c r="D1238" s="4" t="s">
        <v>56</v>
      </c>
    </row>
    <row r="1239" spans="1:4" x14ac:dyDescent="0.25">
      <c r="A1239" s="4">
        <v>8</v>
      </c>
      <c r="B1239" s="4">
        <v>2413123223</v>
      </c>
      <c r="C1239" s="4" t="s">
        <v>56</v>
      </c>
      <c r="D1239" s="4" t="s">
        <v>56</v>
      </c>
    </row>
    <row r="1240" spans="1:4" x14ac:dyDescent="0.25">
      <c r="A1240" s="4">
        <v>9</v>
      </c>
      <c r="B1240" s="4">
        <v>3422213213</v>
      </c>
      <c r="C1240" s="4" t="s">
        <v>56</v>
      </c>
      <c r="D1240" s="4" t="s">
        <v>56</v>
      </c>
    </row>
    <row r="1241" spans="1:4" x14ac:dyDescent="0.25">
      <c r="A1241" s="4">
        <v>10</v>
      </c>
      <c r="B1241" s="4">
        <v>2321214223</v>
      </c>
      <c r="C1241" s="4" t="s">
        <v>56</v>
      </c>
      <c r="D1241" s="4" t="s">
        <v>56</v>
      </c>
    </row>
    <row r="1242" spans="1:4" x14ac:dyDescent="0.25">
      <c r="A1242" s="4">
        <v>11</v>
      </c>
      <c r="B1242" s="4">
        <v>3422213213</v>
      </c>
      <c r="C1242" s="4" t="s">
        <v>56</v>
      </c>
      <c r="D1242" s="4" t="s">
        <v>56</v>
      </c>
    </row>
    <row r="1243" spans="1:4" x14ac:dyDescent="0.25">
      <c r="A1243" s="4">
        <v>12</v>
      </c>
      <c r="B1243" s="4">
        <v>3323214212</v>
      </c>
      <c r="C1243" s="4" t="s">
        <v>56</v>
      </c>
      <c r="D1243" s="4" t="s">
        <v>56</v>
      </c>
    </row>
    <row r="1244" spans="1:4" x14ac:dyDescent="0.25">
      <c r="A1244" s="4">
        <v>13</v>
      </c>
      <c r="B1244" s="4">
        <v>2312124233</v>
      </c>
      <c r="C1244" s="4" t="s">
        <v>56</v>
      </c>
      <c r="D1244" s="4" t="s">
        <v>56</v>
      </c>
    </row>
    <row r="1245" spans="1:4" x14ac:dyDescent="0.25">
      <c r="A1245" s="4">
        <v>14</v>
      </c>
      <c r="B1245" s="4">
        <v>2312124343</v>
      </c>
      <c r="C1245" s="4" t="s">
        <v>56</v>
      </c>
      <c r="D1245" s="4" t="s">
        <v>56</v>
      </c>
    </row>
    <row r="1246" spans="1:4" x14ac:dyDescent="0.25">
      <c r="A1246" s="4">
        <v>15</v>
      </c>
      <c r="B1246" s="4">
        <v>2312124323</v>
      </c>
      <c r="C1246" s="4" t="s">
        <v>56</v>
      </c>
      <c r="D1246" s="4" t="s">
        <v>56</v>
      </c>
    </row>
    <row r="1247" spans="1:4" x14ac:dyDescent="0.25">
      <c r="A1247" s="4">
        <v>16</v>
      </c>
      <c r="B1247" s="4">
        <v>2423213213</v>
      </c>
      <c r="C1247" s="4" t="s">
        <v>56</v>
      </c>
      <c r="D1247" s="4" t="s">
        <v>56</v>
      </c>
    </row>
    <row r="1248" spans="1:4" x14ac:dyDescent="0.25">
      <c r="A1248" s="4">
        <v>17</v>
      </c>
      <c r="B1248" s="4">
        <v>2412123333</v>
      </c>
      <c r="C1248" s="4" t="s">
        <v>56</v>
      </c>
      <c r="D1248" s="4" t="s">
        <v>56</v>
      </c>
    </row>
    <row r="1249" spans="1:4" x14ac:dyDescent="0.25">
      <c r="A1249" s="4">
        <v>18</v>
      </c>
      <c r="B1249" s="4">
        <v>1322214123</v>
      </c>
      <c r="C1249" s="4" t="s">
        <v>56</v>
      </c>
      <c r="D1249" s="4" t="s">
        <v>56</v>
      </c>
    </row>
    <row r="1250" spans="1:4" x14ac:dyDescent="0.25">
      <c r="A1250" s="4">
        <v>19</v>
      </c>
      <c r="B1250" s="4">
        <v>2322214133</v>
      </c>
      <c r="C1250" s="4" t="s">
        <v>56</v>
      </c>
      <c r="D1250" s="4" t="s">
        <v>56</v>
      </c>
    </row>
    <row r="1251" spans="1:4" x14ac:dyDescent="0.25">
      <c r="A1251" s="4">
        <v>20</v>
      </c>
      <c r="B1251" s="4">
        <v>2414323211</v>
      </c>
      <c r="C1251" s="4" t="s">
        <v>56</v>
      </c>
      <c r="D1251" s="4" t="s">
        <v>56</v>
      </c>
    </row>
    <row r="1252" spans="1:4" x14ac:dyDescent="0.25">
      <c r="A1252" s="4">
        <v>21</v>
      </c>
      <c r="B1252" s="4">
        <v>2321214223</v>
      </c>
      <c r="C1252" s="4" t="s">
        <v>56</v>
      </c>
      <c r="D1252" s="4" t="s">
        <v>56</v>
      </c>
    </row>
    <row r="1253" spans="1:4" x14ac:dyDescent="0.25">
      <c r="A1253" s="4">
        <v>22</v>
      </c>
      <c r="B1253" s="4">
        <v>3321214232</v>
      </c>
      <c r="C1253" s="4" t="s">
        <v>56</v>
      </c>
      <c r="D1253" s="4" t="s">
        <v>56</v>
      </c>
    </row>
    <row r="1254" spans="1:4" x14ac:dyDescent="0.25">
      <c r="A1254" s="4">
        <v>23</v>
      </c>
      <c r="B1254" s="4">
        <v>2313124232</v>
      </c>
      <c r="C1254" s="4" t="s">
        <v>56</v>
      </c>
      <c r="D1254" s="4" t="s">
        <v>56</v>
      </c>
    </row>
    <row r="1255" spans="1:4" x14ac:dyDescent="0.25">
      <c r="A1255" s="4">
        <v>24</v>
      </c>
      <c r="B1255" s="4">
        <v>3322214321</v>
      </c>
      <c r="C1255" s="4" t="s">
        <v>56</v>
      </c>
      <c r="D1255" s="4" t="s">
        <v>56</v>
      </c>
    </row>
    <row r="1256" spans="1:4" x14ac:dyDescent="0.25">
      <c r="A1256" s="4">
        <v>25</v>
      </c>
      <c r="B1256" s="4">
        <v>3422213213</v>
      </c>
      <c r="C1256" s="4" t="s">
        <v>56</v>
      </c>
      <c r="D1256" s="4" t="s">
        <v>56</v>
      </c>
    </row>
    <row r="1257" spans="1:4" x14ac:dyDescent="0.25">
      <c r="A1257" s="4">
        <v>26</v>
      </c>
      <c r="B1257" s="4">
        <v>1413223113</v>
      </c>
      <c r="C1257" s="4" t="s">
        <v>56</v>
      </c>
      <c r="D1257" s="4" t="s">
        <v>56</v>
      </c>
    </row>
    <row r="1258" spans="1:4" x14ac:dyDescent="0.25">
      <c r="A1258" s="4">
        <v>27</v>
      </c>
      <c r="B1258" s="4">
        <v>2322214133</v>
      </c>
      <c r="C1258" s="4" t="s">
        <v>56</v>
      </c>
      <c r="D1258" s="4" t="s">
        <v>56</v>
      </c>
    </row>
    <row r="1259" spans="1:4" x14ac:dyDescent="0.25">
      <c r="A1259" s="4">
        <v>28</v>
      </c>
      <c r="B1259" s="4">
        <v>3321214232</v>
      </c>
      <c r="C1259" s="4" t="s">
        <v>56</v>
      </c>
      <c r="D1259" s="4" t="s">
        <v>56</v>
      </c>
    </row>
    <row r="1260" spans="1:4" x14ac:dyDescent="0.25">
      <c r="A1260" s="4">
        <v>29</v>
      </c>
      <c r="B1260" s="4">
        <v>1311224233</v>
      </c>
      <c r="C1260" s="4" t="s">
        <v>56</v>
      </c>
      <c r="D1260" s="4" t="s">
        <v>56</v>
      </c>
    </row>
    <row r="1261" spans="1:4" x14ac:dyDescent="0.25">
      <c r="A1261" s="4">
        <v>30</v>
      </c>
      <c r="B1261" s="4">
        <v>3423213232</v>
      </c>
      <c r="C1261" s="4" t="s">
        <v>56</v>
      </c>
      <c r="D1261" s="4" t="s">
        <v>56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DB28F-E062-4C49-9D42-81C66D2CEA1B}">
  <sheetPr codeName="Sheet7"/>
  <dimension ref="A1:N77"/>
  <sheetViews>
    <sheetView workbookViewId="0">
      <selection activeCell="P36" sqref="P36"/>
    </sheetView>
  </sheetViews>
  <sheetFormatPr defaultRowHeight="15" outlineLevelRow="1" outlineLevelCol="1" x14ac:dyDescent="0.25"/>
  <cols>
    <col min="1" max="1" width="16.85546875" style="4" bestFit="1" customWidth="1"/>
    <col min="2" max="2" width="16.28515625" style="4" bestFit="1" customWidth="1"/>
    <col min="3" max="5" width="3.85546875" style="4" bestFit="1" customWidth="1"/>
    <col min="6" max="6" width="3.85546875" bestFit="1" customWidth="1"/>
    <col min="7" max="7" width="10" bestFit="1" customWidth="1"/>
    <col min="8" max="8" width="8.28515625" bestFit="1" customWidth="1"/>
    <col min="9" max="9" width="10.85546875" bestFit="1" customWidth="1"/>
    <col min="10" max="10" width="11" customWidth="1" outlineLevel="1"/>
    <col min="11" max="11" width="9.28515625" customWidth="1" outlineLevel="1"/>
    <col min="12" max="12" width="7.5703125" customWidth="1" outlineLevel="1"/>
    <col min="13" max="13" width="6.7109375" customWidth="1" outlineLevel="1"/>
    <col min="14" max="14" width="8.7109375" customWidth="1" outlineLevel="1"/>
    <col min="15" max="15" width="8.28515625" bestFit="1" customWidth="1"/>
    <col min="16" max="16" width="11" bestFit="1" customWidth="1"/>
    <col min="17" max="24" width="8.28515625" bestFit="1" customWidth="1"/>
    <col min="25" max="25" width="8.7109375" bestFit="1" customWidth="1"/>
    <col min="26" max="26" width="8.28515625" bestFit="1" customWidth="1"/>
    <col min="27" max="27" width="9.28515625" bestFit="1" customWidth="1"/>
    <col min="28" max="35" width="8.28515625" bestFit="1" customWidth="1"/>
    <col min="36" max="36" width="8.7109375" bestFit="1" customWidth="1"/>
    <col min="37" max="37" width="8.28515625" bestFit="1" customWidth="1"/>
    <col min="38" max="38" width="9.28515625" bestFit="1" customWidth="1"/>
    <col min="39" max="46" width="8.28515625" bestFit="1" customWidth="1"/>
    <col min="47" max="47" width="8.7109375" bestFit="1" customWidth="1"/>
    <col min="48" max="48" width="12" bestFit="1" customWidth="1"/>
    <col min="49" max="51" width="3.85546875" bestFit="1" customWidth="1"/>
    <col min="52" max="52" width="13.28515625" bestFit="1" customWidth="1"/>
    <col min="53" max="53" width="11.28515625" bestFit="1" customWidth="1"/>
  </cols>
  <sheetData>
    <row r="1" spans="1:14" x14ac:dyDescent="0.25">
      <c r="A1" s="21" t="s">
        <v>26</v>
      </c>
      <c r="B1" t="s">
        <v>54</v>
      </c>
      <c r="C1"/>
      <c r="D1"/>
      <c r="E1"/>
    </row>
    <row r="2" spans="1:14" x14ac:dyDescent="0.25">
      <c r="A2"/>
      <c r="B2"/>
      <c r="C2"/>
      <c r="D2"/>
      <c r="E2"/>
    </row>
    <row r="3" spans="1:14" x14ac:dyDescent="0.25">
      <c r="A3" s="21" t="s">
        <v>53</v>
      </c>
      <c r="B3" s="21" t="s">
        <v>52</v>
      </c>
      <c r="C3"/>
      <c r="D3"/>
      <c r="E3"/>
    </row>
    <row r="4" spans="1:14" x14ac:dyDescent="0.25">
      <c r="A4" s="21" t="s">
        <v>51</v>
      </c>
      <c r="B4" t="s">
        <v>1</v>
      </c>
      <c r="C4" t="s">
        <v>4</v>
      </c>
      <c r="D4" t="s">
        <v>5</v>
      </c>
      <c r="E4" t="s">
        <v>6</v>
      </c>
      <c r="F4" t="s">
        <v>7</v>
      </c>
      <c r="J4" s="23">
        <v>0.5</v>
      </c>
      <c r="K4" s="4" t="s">
        <v>4</v>
      </c>
      <c r="L4" s="4" t="s">
        <v>5</v>
      </c>
      <c r="M4" s="4" t="s">
        <v>6</v>
      </c>
      <c r="N4" s="4" t="s">
        <v>7</v>
      </c>
    </row>
    <row r="5" spans="1:14" x14ac:dyDescent="0.25">
      <c r="A5" s="9" t="s">
        <v>40</v>
      </c>
      <c r="B5" s="22"/>
      <c r="C5" s="15">
        <v>0.2</v>
      </c>
      <c r="D5" s="15">
        <v>0.5</v>
      </c>
      <c r="E5" s="15">
        <v>0.3</v>
      </c>
      <c r="F5" s="15">
        <v>0</v>
      </c>
      <c r="J5" s="4" t="s">
        <v>40</v>
      </c>
      <c r="K5" s="4">
        <f t="array" ref="K5">PERCENTILE(IF(Table1[Year]=K$4,Table1[Value],""),$J$4)</f>
        <v>0</v>
      </c>
      <c r="L5" s="4">
        <f t="array" ref="L5">PERCENTILE(IF(Table1[Year]=L$4,Table1[Value],""),$J$4)</f>
        <v>0</v>
      </c>
      <c r="M5" s="4">
        <f t="array" ref="M5">PERCENTILE(IF(Table1[Year]=M$4,Table1[Value],""),$J$4)</f>
        <v>0</v>
      </c>
      <c r="N5" s="4">
        <f t="array" ref="N5">PERCENTILE(IF(Table1[Year]=N$4,Table1[Value],""),$J$4)</f>
        <v>0</v>
      </c>
    </row>
    <row r="6" spans="1:14" x14ac:dyDescent="0.25">
      <c r="A6" s="9" t="s">
        <v>41</v>
      </c>
      <c r="B6" s="22"/>
      <c r="C6" s="15">
        <v>0</v>
      </c>
      <c r="D6" s="15">
        <v>0</v>
      </c>
      <c r="E6" s="15">
        <v>0.66666666666666663</v>
      </c>
      <c r="F6" s="15">
        <v>0.33333333333333331</v>
      </c>
      <c r="H6" s="14"/>
      <c r="I6" s="14"/>
      <c r="J6" s="4" t="s">
        <v>41</v>
      </c>
      <c r="K6" s="4">
        <f t="array" ref="K6">PERCENTILE(IF(Table1[Year]=K$4,Table1[Value],""),$J$4)</f>
        <v>0</v>
      </c>
      <c r="L6" s="4">
        <f t="array" ref="L6">PERCENTILE(IF(Table1[Year]=L$4,Table1[Value],""),$J$4)</f>
        <v>0</v>
      </c>
      <c r="M6" s="4">
        <f t="array" ref="M6">PERCENTILE(IF(Table1[Year]=M$4,Table1[Value],""),$J$4)</f>
        <v>0</v>
      </c>
      <c r="N6" s="4">
        <f t="array" ref="N6">PERCENTILE(IF(Table1[Year]=N$4,Table1[Value],""),$J$4)</f>
        <v>0</v>
      </c>
    </row>
    <row r="7" spans="1:14" x14ac:dyDescent="0.25">
      <c r="A7" s="9" t="s">
        <v>42</v>
      </c>
      <c r="B7" s="22"/>
      <c r="C7" s="15">
        <v>0.4</v>
      </c>
      <c r="D7" s="15">
        <v>0.6</v>
      </c>
      <c r="E7" s="15">
        <v>0</v>
      </c>
      <c r="F7" s="15">
        <v>0</v>
      </c>
      <c r="H7" s="14"/>
      <c r="I7" s="14"/>
      <c r="J7" s="4" t="s">
        <v>42</v>
      </c>
      <c r="K7" s="4">
        <f t="array" ref="K7">PERCENTILE(IF(Table1[Year]=K$4,Table1[Value],""),$J$4)</f>
        <v>0</v>
      </c>
      <c r="L7" s="4">
        <f t="array" ref="L7">PERCENTILE(IF(Table1[Year]=L$4,Table1[Value],""),$J$4)</f>
        <v>0</v>
      </c>
      <c r="M7" s="4">
        <f t="array" ref="M7">PERCENTILE(IF(Table1[Year]=M$4,Table1[Value],""),$J$4)</f>
        <v>0</v>
      </c>
      <c r="N7" s="4">
        <f t="array" ref="N7">PERCENTILE(IF(Table1[Year]=N$4,Table1[Value],""),$J$4)</f>
        <v>0</v>
      </c>
    </row>
    <row r="8" spans="1:14" x14ac:dyDescent="0.25">
      <c r="A8" s="9" t="s">
        <v>43</v>
      </c>
      <c r="B8" s="22"/>
      <c r="C8" s="15">
        <v>0.3</v>
      </c>
      <c r="D8" s="15">
        <v>0.43333333333333335</v>
      </c>
      <c r="E8" s="15">
        <v>0.23333333333333334</v>
      </c>
      <c r="F8" s="15">
        <v>3.3333333333333333E-2</v>
      </c>
      <c r="H8" s="14"/>
      <c r="I8" s="14"/>
      <c r="J8" s="4" t="s">
        <v>43</v>
      </c>
      <c r="K8" s="4">
        <f t="array" ref="K8">PERCENTILE(IF(Table1[Year]=K$4,Table1[Value],""),$J$4)</f>
        <v>0</v>
      </c>
      <c r="L8" s="4">
        <f t="array" ref="L8">PERCENTILE(IF(Table1[Year]=L$4,Table1[Value],""),$J$4)</f>
        <v>0</v>
      </c>
      <c r="M8" s="4">
        <f t="array" ref="M8">PERCENTILE(IF(Table1[Year]=M$4,Table1[Value],""),$J$4)</f>
        <v>0</v>
      </c>
      <c r="N8" s="4">
        <f t="array" ref="N8">PERCENTILE(IF(Table1[Year]=N$4,Table1[Value],""),$J$4)</f>
        <v>0</v>
      </c>
    </row>
    <row r="9" spans="1:14" x14ac:dyDescent="0.25">
      <c r="A9" s="9" t="s">
        <v>44</v>
      </c>
      <c r="B9" s="22"/>
      <c r="C9" s="15">
        <v>0.23333333333333334</v>
      </c>
      <c r="D9" s="15">
        <v>0.7</v>
      </c>
      <c r="E9" s="15">
        <v>6.6666666666666666E-2</v>
      </c>
      <c r="F9" s="15">
        <v>0</v>
      </c>
      <c r="H9" s="14"/>
      <c r="I9" s="14"/>
      <c r="J9" s="4" t="s">
        <v>44</v>
      </c>
      <c r="K9" s="4">
        <f t="array" ref="K9">PERCENTILE(IF(Table1[Year]=K$4,Table1[Value],""),$J$4)</f>
        <v>0</v>
      </c>
      <c r="L9" s="4">
        <f t="array" ref="L9">PERCENTILE(IF(Table1[Year]=L$4,Table1[Value],""),$J$4)</f>
        <v>0</v>
      </c>
      <c r="M9" s="4">
        <f t="array" ref="M9">PERCENTILE(IF(Table1[Year]=M$4,Table1[Value],""),$J$4)</f>
        <v>0</v>
      </c>
      <c r="N9" s="4">
        <f t="array" ref="N9">PERCENTILE(IF(Table1[Year]=N$4,Table1[Value],""),$J$4)</f>
        <v>0</v>
      </c>
    </row>
    <row r="10" spans="1:14" x14ac:dyDescent="0.25">
      <c r="A10" s="9" t="s">
        <v>45</v>
      </c>
      <c r="B10" s="22"/>
      <c r="C10" s="15">
        <v>0.6</v>
      </c>
      <c r="D10" s="15">
        <v>0.4</v>
      </c>
      <c r="E10" s="15">
        <v>0</v>
      </c>
      <c r="F10" s="15">
        <v>0</v>
      </c>
      <c r="H10" s="14"/>
      <c r="I10" s="14"/>
      <c r="J10" s="4" t="s">
        <v>45</v>
      </c>
      <c r="K10" s="4">
        <f t="array" ref="K10">PERCENTILE(IF(Table1[Year]=K$4,Table1[Value],""),$J$4)</f>
        <v>0</v>
      </c>
      <c r="L10" s="4">
        <f t="array" ref="L10">PERCENTILE(IF(Table1[Year]=L$4,Table1[Value],""),$J$4)</f>
        <v>0</v>
      </c>
      <c r="M10" s="4">
        <f t="array" ref="M10">PERCENTILE(IF(Table1[Year]=M$4,Table1[Value],""),$J$4)</f>
        <v>0</v>
      </c>
      <c r="N10" s="4">
        <f t="array" ref="N10">PERCENTILE(IF(Table1[Year]=N$4,Table1[Value],""),$J$4)</f>
        <v>0</v>
      </c>
    </row>
    <row r="11" spans="1:14" x14ac:dyDescent="0.25">
      <c r="A11" s="9" t="s">
        <v>46</v>
      </c>
      <c r="B11" s="22"/>
      <c r="C11" s="15">
        <v>0</v>
      </c>
      <c r="D11" s="15">
        <v>0</v>
      </c>
      <c r="E11" s="15">
        <v>0.33333333333333331</v>
      </c>
      <c r="F11" s="15">
        <v>0.66666666666666663</v>
      </c>
      <c r="H11" s="14"/>
      <c r="I11" s="14"/>
      <c r="J11" s="4" t="s">
        <v>46</v>
      </c>
      <c r="K11" s="4">
        <f t="array" ref="K11">PERCENTILE(IF(Table1[Year]=K$4,Table1[Value],""),$J$4)</f>
        <v>0</v>
      </c>
      <c r="L11" s="4">
        <f t="array" ref="L11">PERCENTILE(IF(Table1[Year]=L$4,Table1[Value],""),$J$4)</f>
        <v>0</v>
      </c>
      <c r="M11" s="4">
        <f t="array" ref="M11">PERCENTILE(IF(Table1[Year]=M$4,Table1[Value],""),$J$4)</f>
        <v>0</v>
      </c>
      <c r="N11" s="4">
        <f t="array" ref="N11">PERCENTILE(IF(Table1[Year]=N$4,Table1[Value],""),$J$4)</f>
        <v>0</v>
      </c>
    </row>
    <row r="12" spans="1:14" x14ac:dyDescent="0.25">
      <c r="A12" s="9" t="s">
        <v>47</v>
      </c>
      <c r="B12" s="22"/>
      <c r="C12" s="15">
        <v>0.13333333333333333</v>
      </c>
      <c r="D12" s="15">
        <v>0.66666666666666663</v>
      </c>
      <c r="E12" s="15">
        <v>0.13333333333333333</v>
      </c>
      <c r="F12" s="15">
        <v>6.6666666666666666E-2</v>
      </c>
      <c r="H12" s="14"/>
      <c r="I12" s="14"/>
      <c r="J12" s="4" t="s">
        <v>47</v>
      </c>
      <c r="K12" s="4">
        <f t="array" ref="K12">PERCENTILE(IF(Table1[Year]=K$4,Table1[Value],""),$J$4)</f>
        <v>0</v>
      </c>
      <c r="L12" s="4">
        <f t="array" ref="L12">PERCENTILE(IF(Table1[Year]=L$4,Table1[Value],""),$J$4)</f>
        <v>0</v>
      </c>
      <c r="M12" s="4">
        <f t="array" ref="M12">PERCENTILE(IF(Table1[Year]=M$4,Table1[Value],""),$J$4)</f>
        <v>0</v>
      </c>
      <c r="N12" s="4">
        <f t="array" ref="N12">PERCENTILE(IF(Table1[Year]=N$4,Table1[Value],""),$J$4)</f>
        <v>0</v>
      </c>
    </row>
    <row r="13" spans="1:14" x14ac:dyDescent="0.25">
      <c r="A13" s="9" t="s">
        <v>48</v>
      </c>
      <c r="B13" s="22"/>
      <c r="C13" s="15">
        <v>0.26666666666666666</v>
      </c>
      <c r="D13" s="15">
        <v>0.26666666666666666</v>
      </c>
      <c r="E13" s="15">
        <v>0.4</v>
      </c>
      <c r="F13" s="15">
        <v>6.6666666666666666E-2</v>
      </c>
      <c r="H13" s="14"/>
      <c r="I13" s="14"/>
      <c r="J13" s="4" t="s">
        <v>48</v>
      </c>
      <c r="K13" s="4">
        <f t="array" ref="K13">PERCENTILE(IF(Table1[Year]=K$4,Table1[Value],""),$J$4)</f>
        <v>0</v>
      </c>
      <c r="L13" s="4">
        <f t="array" ref="L13">PERCENTILE(IF(Table1[Year]=L$4,Table1[Value],""),$J$4)</f>
        <v>0</v>
      </c>
      <c r="M13" s="4">
        <f t="array" ref="M13">PERCENTILE(IF(Table1[Year]=M$4,Table1[Value],""),$J$4)</f>
        <v>0</v>
      </c>
      <c r="N13" s="4">
        <f t="array" ref="N13">PERCENTILE(IF(Table1[Year]=N$4,Table1[Value],""),$J$4)</f>
        <v>0</v>
      </c>
    </row>
    <row r="14" spans="1:14" x14ac:dyDescent="0.25">
      <c r="A14" s="9" t="s">
        <v>49</v>
      </c>
      <c r="B14" s="22"/>
      <c r="C14" s="15">
        <v>6.6666666666666666E-2</v>
      </c>
      <c r="D14" s="15">
        <v>0.23333333333333334</v>
      </c>
      <c r="E14" s="15">
        <v>0.7</v>
      </c>
      <c r="F14" s="15">
        <v>0</v>
      </c>
      <c r="H14" s="14"/>
      <c r="I14" s="14"/>
      <c r="J14" s="4" t="s">
        <v>49</v>
      </c>
      <c r="K14" s="4">
        <f t="array" ref="K14">PERCENTILE(IF(Table1[Year]=K$4,Table1[Value],""),$J$4)</f>
        <v>0</v>
      </c>
      <c r="L14" s="4">
        <f t="array" ref="L14">PERCENTILE(IF(Table1[Year]=L$4,Table1[Value],""),$J$4)</f>
        <v>0</v>
      </c>
      <c r="M14" s="4">
        <f t="array" ref="M14">PERCENTILE(IF(Table1[Year]=M$4,Table1[Value],""),$J$4)</f>
        <v>0</v>
      </c>
      <c r="N14" s="4">
        <f t="array" ref="N14">PERCENTILE(IF(Table1[Year]=N$4,Table1[Value],""),$J$4)</f>
        <v>0</v>
      </c>
    </row>
    <row r="15" spans="1:14" x14ac:dyDescent="0.25">
      <c r="A15" s="9" t="s">
        <v>1</v>
      </c>
      <c r="B15" s="14">
        <v>53.778615265776949</v>
      </c>
      <c r="C15" s="22"/>
      <c r="D15" s="22"/>
      <c r="E15" s="22"/>
      <c r="F15" s="22"/>
      <c r="H15" s="14"/>
      <c r="I15" s="14"/>
      <c r="J15" s="4" t="s">
        <v>1</v>
      </c>
      <c r="K15" s="4">
        <f t="array" ref="K15">PERCENTILE(IF(Table1[Year]=J$15,Table1[Value],""),$J$4)</f>
        <v>53.590998669160427</v>
      </c>
      <c r="L15" s="4"/>
      <c r="M15" s="4"/>
      <c r="N15" s="4"/>
    </row>
    <row r="16" spans="1:14" x14ac:dyDescent="0.25">
      <c r="A16"/>
      <c r="B16"/>
      <c r="C16"/>
      <c r="D16"/>
      <c r="E16"/>
    </row>
    <row r="17" spans="1:14" x14ac:dyDescent="0.25">
      <c r="A17"/>
      <c r="B17"/>
      <c r="C17"/>
      <c r="D17"/>
      <c r="E17"/>
    </row>
    <row r="18" spans="1:14" x14ac:dyDescent="0.25">
      <c r="A18"/>
      <c r="B18"/>
      <c r="C18"/>
      <c r="D18"/>
      <c r="E18"/>
    </row>
    <row r="19" spans="1:14" x14ac:dyDescent="0.25">
      <c r="A19"/>
      <c r="B19"/>
      <c r="C19"/>
      <c r="D19"/>
      <c r="E19"/>
    </row>
    <row r="20" spans="1:14" x14ac:dyDescent="0.25">
      <c r="A20"/>
      <c r="B20"/>
      <c r="C20"/>
      <c r="D20"/>
      <c r="E20"/>
    </row>
    <row r="21" spans="1:14" outlineLevel="1" x14ac:dyDescent="0.25">
      <c r="A21"/>
      <c r="B21"/>
      <c r="C21"/>
      <c r="D21"/>
      <c r="E21"/>
    </row>
    <row r="22" spans="1:14" outlineLevel="1" x14ac:dyDescent="0.25">
      <c r="A22" s="21" t="s">
        <v>57</v>
      </c>
      <c r="B22" s="21" t="s">
        <v>52</v>
      </c>
      <c r="C22"/>
      <c r="D22"/>
      <c r="E22"/>
    </row>
    <row r="23" spans="1:14" outlineLevel="1" x14ac:dyDescent="0.25">
      <c r="A23" s="21" t="s">
        <v>51</v>
      </c>
      <c r="B23" t="s">
        <v>56</v>
      </c>
      <c r="C23"/>
      <c r="D23"/>
      <c r="E23"/>
      <c r="H23" t="s">
        <v>58</v>
      </c>
      <c r="I23" t="s">
        <v>59</v>
      </c>
      <c r="K23" s="4" t="s">
        <v>4</v>
      </c>
      <c r="L23" s="4" t="s">
        <v>5</v>
      </c>
      <c r="M23" s="4" t="s">
        <v>6</v>
      </c>
      <c r="N23" s="4" t="s">
        <v>7</v>
      </c>
    </row>
    <row r="24" spans="1:14" outlineLevel="1" x14ac:dyDescent="0.25">
      <c r="A24" s="9">
        <v>3422213213</v>
      </c>
      <c r="B24" s="22">
        <v>3</v>
      </c>
      <c r="C24"/>
      <c r="D24"/>
      <c r="E24"/>
      <c r="H24" s="4">
        <v>1</v>
      </c>
      <c r="I24" s="4" t="str">
        <f t="shared" ref="I24:I33" si="0">LEFT(RIGHT($A$24,LEN($A$24)-H24+1),1)</f>
        <v>3</v>
      </c>
      <c r="J24" s="4" t="s">
        <v>40</v>
      </c>
      <c r="K24" s="4">
        <f>IF(I24="1",1,0)</f>
        <v>0</v>
      </c>
      <c r="L24" s="4">
        <f>IF(I24="2",1,0)</f>
        <v>0</v>
      </c>
      <c r="M24" s="4">
        <f>IF(I24="3",1,0)</f>
        <v>1</v>
      </c>
      <c r="N24" s="4">
        <f>IF(I24="4",1,0)</f>
        <v>0</v>
      </c>
    </row>
    <row r="25" spans="1:14" outlineLevel="1" x14ac:dyDescent="0.25">
      <c r="A25" s="9">
        <v>3323214212</v>
      </c>
      <c r="B25" s="22">
        <v>2</v>
      </c>
      <c r="C25"/>
      <c r="D25"/>
      <c r="E25"/>
      <c r="H25" s="4">
        <v>2</v>
      </c>
      <c r="I25" s="4" t="str">
        <f t="shared" si="0"/>
        <v>4</v>
      </c>
      <c r="J25" s="4" t="s">
        <v>41</v>
      </c>
      <c r="K25" s="4">
        <f t="shared" ref="K25:K33" si="1">IF(I25="1",1,0)</f>
        <v>0</v>
      </c>
      <c r="L25" s="4">
        <f t="shared" ref="L25:L33" si="2">IF(I25="2",1,0)</f>
        <v>0</v>
      </c>
      <c r="M25" s="4">
        <f t="shared" ref="M25:M33" si="3">IF(I25="3",1,0)</f>
        <v>0</v>
      </c>
      <c r="N25" s="4">
        <f t="shared" ref="N25:N33" si="4">IF(I25="4",1,0)</f>
        <v>1</v>
      </c>
    </row>
    <row r="26" spans="1:14" outlineLevel="1" x14ac:dyDescent="0.25">
      <c r="A26" s="9">
        <v>2321214223</v>
      </c>
      <c r="B26" s="22">
        <v>2</v>
      </c>
      <c r="C26"/>
      <c r="D26"/>
      <c r="E26"/>
      <c r="H26" s="4">
        <v>3</v>
      </c>
      <c r="I26" s="4" t="str">
        <f t="shared" si="0"/>
        <v>2</v>
      </c>
      <c r="J26" s="4" t="s">
        <v>42</v>
      </c>
      <c r="K26" s="4">
        <f t="shared" si="1"/>
        <v>0</v>
      </c>
      <c r="L26" s="4">
        <f t="shared" si="2"/>
        <v>1</v>
      </c>
      <c r="M26" s="4">
        <f t="shared" si="3"/>
        <v>0</v>
      </c>
      <c r="N26" s="4">
        <f t="shared" si="4"/>
        <v>0</v>
      </c>
    </row>
    <row r="27" spans="1:14" outlineLevel="1" x14ac:dyDescent="0.25">
      <c r="A27" s="9">
        <v>2322214133</v>
      </c>
      <c r="B27" s="22">
        <v>2</v>
      </c>
      <c r="C27"/>
      <c r="D27"/>
      <c r="E27"/>
      <c r="H27" s="4">
        <v>4</v>
      </c>
      <c r="I27" s="4" t="str">
        <f t="shared" si="0"/>
        <v>2</v>
      </c>
      <c r="J27" s="4" t="s">
        <v>43</v>
      </c>
      <c r="K27" s="4">
        <f t="shared" si="1"/>
        <v>0</v>
      </c>
      <c r="L27" s="4">
        <f t="shared" si="2"/>
        <v>1</v>
      </c>
      <c r="M27" s="4">
        <f t="shared" si="3"/>
        <v>0</v>
      </c>
      <c r="N27" s="4">
        <f t="shared" si="4"/>
        <v>0</v>
      </c>
    </row>
    <row r="28" spans="1:14" outlineLevel="1" x14ac:dyDescent="0.25">
      <c r="A28" s="9">
        <v>3321214232</v>
      </c>
      <c r="B28" s="22">
        <v>2</v>
      </c>
      <c r="C28"/>
      <c r="D28"/>
      <c r="E28"/>
      <c r="H28" s="4">
        <v>5</v>
      </c>
      <c r="I28" s="4" t="str">
        <f t="shared" si="0"/>
        <v>2</v>
      </c>
      <c r="J28" s="4" t="s">
        <v>44</v>
      </c>
      <c r="K28" s="4">
        <f t="shared" si="1"/>
        <v>0</v>
      </c>
      <c r="L28" s="4">
        <f t="shared" si="2"/>
        <v>1</v>
      </c>
      <c r="M28" s="4">
        <f t="shared" si="3"/>
        <v>0</v>
      </c>
      <c r="N28" s="4">
        <f t="shared" si="4"/>
        <v>0</v>
      </c>
    </row>
    <row r="29" spans="1:14" outlineLevel="1" x14ac:dyDescent="0.25">
      <c r="A29" s="9">
        <v>2321214423</v>
      </c>
      <c r="B29" s="22">
        <v>2</v>
      </c>
      <c r="C29"/>
      <c r="D29"/>
      <c r="E29"/>
      <c r="H29" s="4">
        <v>6</v>
      </c>
      <c r="I29" s="4" t="str">
        <f t="shared" si="0"/>
        <v>1</v>
      </c>
      <c r="J29" s="4" t="s">
        <v>45</v>
      </c>
      <c r="K29" s="4">
        <f t="shared" si="1"/>
        <v>1</v>
      </c>
      <c r="L29" s="4">
        <f t="shared" si="2"/>
        <v>0</v>
      </c>
      <c r="M29" s="4">
        <f t="shared" si="3"/>
        <v>0</v>
      </c>
      <c r="N29" s="4">
        <f t="shared" si="4"/>
        <v>0</v>
      </c>
    </row>
    <row r="30" spans="1:14" outlineLevel="1" x14ac:dyDescent="0.25">
      <c r="A30" s="9">
        <v>2312124233</v>
      </c>
      <c r="B30" s="22">
        <v>2</v>
      </c>
      <c r="C30"/>
      <c r="D30"/>
      <c r="E30"/>
      <c r="H30" s="4">
        <v>7</v>
      </c>
      <c r="I30" s="4" t="str">
        <f t="shared" si="0"/>
        <v>3</v>
      </c>
      <c r="J30" s="4" t="s">
        <v>46</v>
      </c>
      <c r="K30" s="4">
        <f t="shared" si="1"/>
        <v>0</v>
      </c>
      <c r="L30" s="4">
        <f t="shared" si="2"/>
        <v>0</v>
      </c>
      <c r="M30" s="4">
        <f t="shared" si="3"/>
        <v>1</v>
      </c>
      <c r="N30" s="4">
        <f t="shared" si="4"/>
        <v>0</v>
      </c>
    </row>
    <row r="31" spans="1:14" outlineLevel="1" x14ac:dyDescent="0.25">
      <c r="A31" s="9">
        <v>1311224243</v>
      </c>
      <c r="B31" s="22">
        <v>1</v>
      </c>
      <c r="C31"/>
      <c r="D31"/>
      <c r="E31"/>
      <c r="H31" s="4">
        <v>8</v>
      </c>
      <c r="I31" s="4" t="str">
        <f t="shared" si="0"/>
        <v>2</v>
      </c>
      <c r="J31" s="4" t="s">
        <v>47</v>
      </c>
      <c r="K31" s="4">
        <f t="shared" si="1"/>
        <v>0</v>
      </c>
      <c r="L31" s="4">
        <f t="shared" si="2"/>
        <v>1</v>
      </c>
      <c r="M31" s="4">
        <f t="shared" si="3"/>
        <v>0</v>
      </c>
      <c r="N31" s="4">
        <f t="shared" si="4"/>
        <v>0</v>
      </c>
    </row>
    <row r="32" spans="1:14" outlineLevel="1" x14ac:dyDescent="0.25">
      <c r="A32" s="9">
        <v>3322214321</v>
      </c>
      <c r="B32" s="22">
        <v>1</v>
      </c>
      <c r="C32"/>
      <c r="D32"/>
      <c r="E32"/>
      <c r="H32" s="4">
        <v>9</v>
      </c>
      <c r="I32" s="4" t="str">
        <f t="shared" si="0"/>
        <v>1</v>
      </c>
      <c r="J32" s="4" t="s">
        <v>48</v>
      </c>
      <c r="K32" s="4">
        <f t="shared" si="1"/>
        <v>1</v>
      </c>
      <c r="L32" s="4">
        <f t="shared" si="2"/>
        <v>0</v>
      </c>
      <c r="M32" s="4">
        <f t="shared" si="3"/>
        <v>0</v>
      </c>
      <c r="N32" s="4">
        <f t="shared" si="4"/>
        <v>0</v>
      </c>
    </row>
    <row r="33" spans="1:14" outlineLevel="1" x14ac:dyDescent="0.25">
      <c r="A33" s="9">
        <v>2423213213</v>
      </c>
      <c r="B33" s="22">
        <v>1</v>
      </c>
      <c r="C33"/>
      <c r="D33"/>
      <c r="E33"/>
      <c r="H33" s="4">
        <v>10</v>
      </c>
      <c r="I33" s="4" t="str">
        <f t="shared" si="0"/>
        <v>3</v>
      </c>
      <c r="J33" s="4" t="s">
        <v>49</v>
      </c>
      <c r="K33" s="4">
        <f t="shared" si="1"/>
        <v>0</v>
      </c>
      <c r="L33" s="4">
        <f t="shared" si="2"/>
        <v>0</v>
      </c>
      <c r="M33" s="4">
        <f t="shared" si="3"/>
        <v>1</v>
      </c>
      <c r="N33" s="4">
        <f t="shared" si="4"/>
        <v>0</v>
      </c>
    </row>
    <row r="34" spans="1:14" outlineLevel="1" x14ac:dyDescent="0.25">
      <c r="A34" s="9">
        <v>2312124323</v>
      </c>
      <c r="B34" s="22">
        <v>1</v>
      </c>
      <c r="C34"/>
      <c r="D34"/>
      <c r="E34"/>
    </row>
    <row r="35" spans="1:14" outlineLevel="1" x14ac:dyDescent="0.25">
      <c r="A35" s="9">
        <v>1411323232</v>
      </c>
      <c r="B35" s="22">
        <v>1</v>
      </c>
      <c r="C35"/>
      <c r="D35"/>
      <c r="E35"/>
    </row>
    <row r="36" spans="1:14" outlineLevel="1" x14ac:dyDescent="0.25">
      <c r="A36" s="9">
        <v>1311224233</v>
      </c>
      <c r="B36" s="22">
        <v>1</v>
      </c>
      <c r="C36"/>
      <c r="D36"/>
      <c r="E36"/>
    </row>
    <row r="37" spans="1:14" outlineLevel="1" x14ac:dyDescent="0.25">
      <c r="A37" s="9">
        <v>2414323211</v>
      </c>
      <c r="B37" s="22">
        <v>1</v>
      </c>
      <c r="C37"/>
      <c r="D37"/>
      <c r="E37"/>
    </row>
    <row r="38" spans="1:14" outlineLevel="1" x14ac:dyDescent="0.25">
      <c r="A38" s="9">
        <v>3423213232</v>
      </c>
      <c r="B38" s="22">
        <v>1</v>
      </c>
      <c r="C38"/>
      <c r="D38"/>
      <c r="E38"/>
    </row>
    <row r="39" spans="1:14" outlineLevel="1" x14ac:dyDescent="0.25">
      <c r="A39" s="9">
        <v>2313124232</v>
      </c>
      <c r="B39" s="22">
        <v>1</v>
      </c>
      <c r="C39"/>
      <c r="D39"/>
      <c r="E39"/>
    </row>
    <row r="40" spans="1:14" outlineLevel="1" x14ac:dyDescent="0.25">
      <c r="A40" s="9">
        <v>2312124343</v>
      </c>
      <c r="B40" s="22">
        <v>1</v>
      </c>
      <c r="C40"/>
      <c r="D40"/>
      <c r="E40"/>
    </row>
    <row r="41" spans="1:14" outlineLevel="1" x14ac:dyDescent="0.25">
      <c r="A41" s="9">
        <v>1413223113</v>
      </c>
      <c r="B41" s="22">
        <v>1</v>
      </c>
      <c r="C41"/>
      <c r="D41"/>
      <c r="E41"/>
    </row>
    <row r="42" spans="1:14" outlineLevel="1" x14ac:dyDescent="0.25">
      <c r="A42" s="9">
        <v>2412123333</v>
      </c>
      <c r="B42" s="22">
        <v>1</v>
      </c>
      <c r="C42"/>
      <c r="D42"/>
      <c r="E42"/>
    </row>
    <row r="43" spans="1:14" outlineLevel="1" x14ac:dyDescent="0.25">
      <c r="A43" s="9">
        <v>1322214123</v>
      </c>
      <c r="B43" s="22">
        <v>1</v>
      </c>
      <c r="C43"/>
      <c r="D43"/>
      <c r="E43"/>
    </row>
    <row r="44" spans="1:14" outlineLevel="1" x14ac:dyDescent="0.25">
      <c r="A44" s="9">
        <v>1322214233</v>
      </c>
      <c r="B44" s="22">
        <v>1</v>
      </c>
      <c r="C44"/>
      <c r="D44"/>
      <c r="E44"/>
    </row>
    <row r="45" spans="1:14" outlineLevel="1" x14ac:dyDescent="0.25">
      <c r="A45" s="9">
        <v>2413123223</v>
      </c>
      <c r="B45" s="22">
        <v>1</v>
      </c>
      <c r="C45"/>
      <c r="D45"/>
      <c r="E45"/>
    </row>
    <row r="46" spans="1:14" outlineLevel="1" x14ac:dyDescent="0.25">
      <c r="A46"/>
      <c r="B46"/>
      <c r="C46"/>
      <c r="D46"/>
      <c r="E46"/>
    </row>
    <row r="47" spans="1:14" outlineLevel="1" x14ac:dyDescent="0.25">
      <c r="A47"/>
      <c r="B47"/>
      <c r="C47"/>
      <c r="D47"/>
      <c r="E47"/>
    </row>
    <row r="48" spans="1:14" outlineLevel="1" x14ac:dyDescent="0.25">
      <c r="A48"/>
      <c r="B48"/>
      <c r="C48"/>
      <c r="D48"/>
      <c r="E48"/>
    </row>
    <row r="49" spans="1:5" outlineLevel="1" x14ac:dyDescent="0.25">
      <c r="A49"/>
      <c r="B49"/>
      <c r="C49"/>
      <c r="D49"/>
      <c r="E49"/>
    </row>
    <row r="50" spans="1:5" outlineLevel="1" x14ac:dyDescent="0.25">
      <c r="A50"/>
      <c r="B50"/>
      <c r="C50"/>
      <c r="D50"/>
      <c r="E50"/>
    </row>
    <row r="51" spans="1:5" x14ac:dyDescent="0.25">
      <c r="A51"/>
      <c r="B51"/>
      <c r="C51"/>
      <c r="D51"/>
      <c r="E51"/>
    </row>
    <row r="52" spans="1:5" x14ac:dyDescent="0.25">
      <c r="A52"/>
      <c r="B52"/>
      <c r="C52"/>
      <c r="D52"/>
      <c r="E52"/>
    </row>
    <row r="53" spans="1:5" x14ac:dyDescent="0.25">
      <c r="A53"/>
      <c r="B53"/>
      <c r="C53"/>
      <c r="D53"/>
      <c r="E53"/>
    </row>
    <row r="54" spans="1:5" x14ac:dyDescent="0.25">
      <c r="A54"/>
      <c r="B54"/>
      <c r="C54"/>
      <c r="D54"/>
      <c r="E54"/>
    </row>
    <row r="55" spans="1:5" x14ac:dyDescent="0.25">
      <c r="A55"/>
      <c r="B55"/>
      <c r="C55"/>
      <c r="D55"/>
      <c r="E55"/>
    </row>
    <row r="56" spans="1:5" x14ac:dyDescent="0.25">
      <c r="A56"/>
      <c r="B56"/>
      <c r="C56"/>
      <c r="D56"/>
      <c r="E56"/>
    </row>
    <row r="57" spans="1:5" x14ac:dyDescent="0.25">
      <c r="A57"/>
      <c r="B57"/>
      <c r="C57"/>
      <c r="D57"/>
      <c r="E57"/>
    </row>
    <row r="58" spans="1:5" x14ac:dyDescent="0.25">
      <c r="A58"/>
      <c r="B58"/>
      <c r="C58"/>
      <c r="D58"/>
      <c r="E58"/>
    </row>
    <row r="59" spans="1:5" x14ac:dyDescent="0.25">
      <c r="A59"/>
      <c r="B59"/>
      <c r="C59"/>
      <c r="D59"/>
      <c r="E59"/>
    </row>
    <row r="60" spans="1:5" x14ac:dyDescent="0.25">
      <c r="A60"/>
      <c r="B60"/>
      <c r="C60"/>
      <c r="D60"/>
      <c r="E60"/>
    </row>
    <row r="61" spans="1:5" x14ac:dyDescent="0.25">
      <c r="A61"/>
      <c r="B61"/>
      <c r="C61"/>
      <c r="D61"/>
      <c r="E61"/>
    </row>
    <row r="62" spans="1:5" x14ac:dyDescent="0.25">
      <c r="A62"/>
      <c r="B62"/>
      <c r="C62"/>
      <c r="D62"/>
      <c r="E62"/>
    </row>
    <row r="63" spans="1:5" x14ac:dyDescent="0.25">
      <c r="A63"/>
      <c r="B63"/>
      <c r="C63"/>
      <c r="D63"/>
      <c r="E63"/>
    </row>
    <row r="64" spans="1:5" x14ac:dyDescent="0.25">
      <c r="A64"/>
      <c r="B64"/>
      <c r="C64"/>
      <c r="D64"/>
      <c r="E64"/>
    </row>
    <row r="65" spans="1:5" x14ac:dyDescent="0.25">
      <c r="A65"/>
      <c r="B65"/>
      <c r="C65"/>
      <c r="D65"/>
      <c r="E65"/>
    </row>
    <row r="66" spans="1:5" x14ac:dyDescent="0.25">
      <c r="A66"/>
      <c r="B66"/>
      <c r="C66"/>
      <c r="D66"/>
      <c r="E66"/>
    </row>
    <row r="67" spans="1:5" x14ac:dyDescent="0.25">
      <c r="A67"/>
      <c r="B67"/>
      <c r="C67"/>
      <c r="D67"/>
      <c r="E67"/>
    </row>
    <row r="68" spans="1:5" x14ac:dyDescent="0.25">
      <c r="A68"/>
      <c r="B68"/>
      <c r="C68"/>
      <c r="D68"/>
      <c r="E68"/>
    </row>
    <row r="69" spans="1:5" x14ac:dyDescent="0.25">
      <c r="A69"/>
      <c r="B69"/>
      <c r="C69"/>
      <c r="D69"/>
      <c r="E69"/>
    </row>
    <row r="70" spans="1:5" x14ac:dyDescent="0.25">
      <c r="A70"/>
      <c r="B70"/>
      <c r="C70"/>
      <c r="D70"/>
      <c r="E70"/>
    </row>
    <row r="71" spans="1:5" x14ac:dyDescent="0.25">
      <c r="A71"/>
      <c r="B71"/>
      <c r="C71"/>
      <c r="D71"/>
      <c r="E71"/>
    </row>
    <row r="72" spans="1:5" x14ac:dyDescent="0.25">
      <c r="A72"/>
      <c r="B72"/>
      <c r="C72"/>
      <c r="D72"/>
      <c r="E72"/>
    </row>
    <row r="73" spans="1:5" x14ac:dyDescent="0.25">
      <c r="A73"/>
      <c r="B73"/>
      <c r="C73"/>
      <c r="D73"/>
      <c r="E73"/>
    </row>
    <row r="74" spans="1:5" x14ac:dyDescent="0.25">
      <c r="A74"/>
      <c r="B74"/>
      <c r="C74"/>
      <c r="D74"/>
      <c r="E74"/>
    </row>
    <row r="75" spans="1:5" x14ac:dyDescent="0.25">
      <c r="A75"/>
      <c r="B75"/>
      <c r="C75"/>
      <c r="D75"/>
      <c r="E75"/>
    </row>
    <row r="76" spans="1:5" x14ac:dyDescent="0.25">
      <c r="A76"/>
      <c r="B76"/>
      <c r="C76"/>
      <c r="D76"/>
      <c r="E76"/>
    </row>
    <row r="77" spans="1:5" x14ac:dyDescent="0.25">
      <c r="A77"/>
      <c r="B77"/>
      <c r="C77"/>
      <c r="D77"/>
      <c r="E7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11A98-ABB7-43AC-8DD3-E5EE9255E170}">
  <sheetPr codeName="Sheet10"/>
  <dimension ref="A1:AM23"/>
  <sheetViews>
    <sheetView zoomScale="85" zoomScaleNormal="85" workbookViewId="0"/>
  </sheetViews>
  <sheetFormatPr defaultRowHeight="15" outlineLevelCol="1" x14ac:dyDescent="0.25"/>
  <cols>
    <col min="4" max="4" width="12.28515625" bestFit="1" customWidth="1"/>
    <col min="9" max="9" width="9.140625" style="9"/>
    <col min="10" max="10" width="9.28515625" customWidth="1"/>
    <col min="11" max="15" width="9.140625" hidden="1" customWidth="1" outlineLevel="1"/>
    <col min="16" max="16" width="8.85546875" hidden="1" customWidth="1" outlineLevel="1"/>
    <col min="17" max="17" width="14.7109375" style="4" customWidth="1" collapsed="1"/>
    <col min="18" max="18" width="15.5703125" style="4" customWidth="1"/>
    <col min="19" max="19" width="8.42578125" style="9" customWidth="1"/>
    <col min="20" max="25" width="9.140625" style="9" hidden="1" customWidth="1" outlineLevel="1"/>
    <col min="26" max="26" width="12" style="4" customWidth="1" collapsed="1"/>
    <col min="27" max="27" width="16.5703125" style="4" bestFit="1" customWidth="1"/>
    <col min="28" max="28" width="9.140625" style="9"/>
    <col min="30" max="30" width="18.7109375" style="4" customWidth="1"/>
    <col min="31" max="31" width="11.28515625" style="4" bestFit="1" customWidth="1"/>
    <col min="32" max="32" width="12.85546875" style="4" customWidth="1"/>
    <col min="33" max="33" width="8.28515625" style="4" customWidth="1"/>
    <col min="34" max="37" width="6.5703125" style="4" customWidth="1"/>
  </cols>
  <sheetData>
    <row r="1" spans="1:36" x14ac:dyDescent="0.25">
      <c r="A1" s="13"/>
      <c r="E1" s="4"/>
      <c r="F1" s="4"/>
      <c r="G1" s="4"/>
      <c r="Q1" s="9" t="s">
        <v>21</v>
      </c>
      <c r="Z1" s="9" t="s">
        <v>22</v>
      </c>
    </row>
    <row r="2" spans="1:36" x14ac:dyDescent="0.25">
      <c r="B2" t="s">
        <v>0</v>
      </c>
      <c r="C2" t="s">
        <v>2</v>
      </c>
      <c r="D2" t="s">
        <v>3</v>
      </c>
      <c r="E2" s="4" t="s">
        <v>4</v>
      </c>
      <c r="F2" s="4" t="s">
        <v>5</v>
      </c>
      <c r="G2" s="4" t="s">
        <v>6</v>
      </c>
      <c r="H2" t="s">
        <v>7</v>
      </c>
      <c r="I2" s="9" t="s">
        <v>8</v>
      </c>
      <c r="K2" t="s">
        <v>13</v>
      </c>
      <c r="L2" t="s">
        <v>14</v>
      </c>
      <c r="M2" t="s">
        <v>15</v>
      </c>
      <c r="N2" t="s">
        <v>19</v>
      </c>
      <c r="O2" t="s">
        <v>16</v>
      </c>
      <c r="P2" t="s">
        <v>17</v>
      </c>
      <c r="Q2" s="4" t="s">
        <v>18</v>
      </c>
      <c r="R2" s="4" t="s">
        <v>23</v>
      </c>
      <c r="T2" s="9" t="s">
        <v>13</v>
      </c>
      <c r="U2" s="9" t="s">
        <v>14</v>
      </c>
      <c r="V2" s="9" t="s">
        <v>15</v>
      </c>
      <c r="W2" s="9" t="s">
        <v>19</v>
      </c>
      <c r="X2" s="9" t="s">
        <v>16</v>
      </c>
      <c r="Y2" s="9" t="s">
        <v>17</v>
      </c>
      <c r="Z2" s="4" t="s">
        <v>18</v>
      </c>
      <c r="AA2" s="4" t="s">
        <v>24</v>
      </c>
      <c r="AD2" s="10" t="s">
        <v>9</v>
      </c>
      <c r="AF2" s="9" t="s">
        <v>160</v>
      </c>
      <c r="AJ2" s="5"/>
    </row>
    <row r="3" spans="1:36" x14ac:dyDescent="0.25">
      <c r="A3">
        <v>1</v>
      </c>
      <c r="B3" s="6" t="s">
        <v>143</v>
      </c>
      <c r="C3" s="2">
        <v>5</v>
      </c>
      <c r="D3" s="2">
        <v>2</v>
      </c>
      <c r="E3" s="6">
        <v>0</v>
      </c>
      <c r="F3" s="6">
        <v>1</v>
      </c>
      <c r="G3" s="6">
        <v>0</v>
      </c>
      <c r="H3" s="6">
        <v>0</v>
      </c>
      <c r="I3" s="12">
        <f t="shared" ref="I3:I12" si="0">SUM(E3:H3)</f>
        <v>1</v>
      </c>
      <c r="K3" s="14">
        <v>0.95</v>
      </c>
      <c r="L3" s="14">
        <v>1</v>
      </c>
      <c r="M3" s="14">
        <v>1.5</v>
      </c>
      <c r="N3" s="14">
        <f>(K3+4*L3+M3)/6</f>
        <v>1.075</v>
      </c>
      <c r="O3" s="14">
        <f>((N3-K3)*(2*L3-K3-M3))/((L3-N3)*(M3-K3))</f>
        <v>1.3636363636363642</v>
      </c>
      <c r="P3" s="14">
        <f>(O3*(M3-N3))/(N3-K3)</f>
        <v>4.6363636363636385</v>
      </c>
      <c r="Q3" s="5">
        <f ca="1">_xll.PsiPert(K3,L3,M3)</f>
        <v>1.1406544078925647</v>
      </c>
      <c r="R3" s="18">
        <f ca="1">Q3*C3</f>
        <v>5.7032720394628234</v>
      </c>
      <c r="T3" s="17">
        <v>0.6</v>
      </c>
      <c r="U3" s="17">
        <v>1</v>
      </c>
      <c r="V3" s="17">
        <v>1.1000000000000001</v>
      </c>
      <c r="W3" s="17">
        <f>(T3+4*U3+V3)/6</f>
        <v>0.94999999999999984</v>
      </c>
      <c r="X3" s="17">
        <f>((W3-T3)*(2*U3-T3-V3))/((U3-W3)*(V3-T3))</f>
        <v>4.1999999999999815</v>
      </c>
      <c r="Y3" s="17">
        <f>(X3*(V3-W3))/(W3-T3)</f>
        <v>1.7999999999999956</v>
      </c>
      <c r="Z3" s="5">
        <f ca="1">_xll.PsiPert(K3,L3,M3)</f>
        <v>1.0476651858855046</v>
      </c>
      <c r="AA3" s="18">
        <f ca="1">Z3*D3</f>
        <v>2.0953303717710092</v>
      </c>
      <c r="AD3" s="5">
        <f ca="1">Z3*D3*(E3*(1+1/(1+$AC$14)+1/(1+$AC$14)^2)+F3*(1/(1+$AC$14)+1/(1+$AC$14)^2)+G3*(1/(1+$AC$14)^2))</f>
        <v>3.8960791493247791</v>
      </c>
      <c r="AF3" s="4" t="str">
        <f t="shared" ref="AF3:AF11" si="1">IF(E3=1,"1",IF(F3=1,"2",IF(G3=1,"3","4")))</f>
        <v>2</v>
      </c>
      <c r="AJ3" s="5"/>
    </row>
    <row r="4" spans="1:36" x14ac:dyDescent="0.25">
      <c r="A4">
        <v>2</v>
      </c>
      <c r="B4" s="6" t="s">
        <v>144</v>
      </c>
      <c r="C4" s="2">
        <v>15</v>
      </c>
      <c r="D4" s="2">
        <v>3</v>
      </c>
      <c r="E4" s="6">
        <v>0</v>
      </c>
      <c r="F4" s="6">
        <v>0</v>
      </c>
      <c r="G4" s="6">
        <v>0</v>
      </c>
      <c r="H4" s="6">
        <v>1</v>
      </c>
      <c r="I4" s="12">
        <f t="shared" si="0"/>
        <v>1</v>
      </c>
      <c r="K4" s="14">
        <v>0.9</v>
      </c>
      <c r="L4" s="14">
        <v>1</v>
      </c>
      <c r="M4" s="14">
        <v>1.2</v>
      </c>
      <c r="N4" s="14">
        <f t="shared" ref="N4:N12" si="2">(K4+4*L4+M4)/6</f>
        <v>1.0166666666666668</v>
      </c>
      <c r="O4" s="14">
        <f t="shared" ref="O4:O12" si="3">((N4-K4)*(2*L4-K4-M4))/((L4-N4)*(M4-K4))</f>
        <v>2.3333333333333108</v>
      </c>
      <c r="P4" s="14">
        <f t="shared" ref="P4:P12" si="4">(O4*(M4-N4))/(N4-K4)</f>
        <v>3.6666666666666226</v>
      </c>
      <c r="Q4" s="5">
        <f ca="1">_xll.PsiPert(K4,L4,M4)</f>
        <v>1.0110836731165431</v>
      </c>
      <c r="R4" s="18">
        <f ca="1">Q4*C4</f>
        <v>15.166255096748147</v>
      </c>
      <c r="T4" s="17">
        <v>0.8</v>
      </c>
      <c r="U4" s="17">
        <v>1</v>
      </c>
      <c r="V4" s="17">
        <v>1.1000000000000001</v>
      </c>
      <c r="W4" s="17">
        <f t="shared" ref="W4:W12" si="5">(T4+4*U4+V4)/6</f>
        <v>0.98333333333333339</v>
      </c>
      <c r="X4" s="17">
        <f t="shared" ref="X4:X12" si="6">((W4-T4)*(2*U4-T4-V4))/((U4-W4)*(V4-T4))</f>
        <v>3.6666666666666745</v>
      </c>
      <c r="Y4" s="17">
        <f t="shared" ref="Y4:Y12" si="7">(X4*(V4-W4))/(W4-T4)</f>
        <v>2.3333333333333388</v>
      </c>
      <c r="Z4" s="5">
        <f ca="1">_xll.PsiPert(K4,L4,M4)</f>
        <v>0.98524500710206175</v>
      </c>
      <c r="AA4" s="18">
        <f t="shared" ref="AA4:AA12" ca="1" si="8">Z4*D4</f>
        <v>2.955735021306185</v>
      </c>
      <c r="AD4" s="5">
        <f ca="1">Z4*D4*(E4*(1+1/(1+$AC$14)+1/(1+$AC$14)^2)+F4*(1/(1+$AC$14)+1/(1+$AC$14)^2)+G4*(1/(1+$AC$14)^2))</f>
        <v>0</v>
      </c>
      <c r="AF4" s="4" t="str">
        <f t="shared" si="1"/>
        <v>4</v>
      </c>
      <c r="AJ4" s="5"/>
    </row>
    <row r="5" spans="1:36" x14ac:dyDescent="0.25">
      <c r="A5">
        <v>3</v>
      </c>
      <c r="B5" s="6" t="s">
        <v>145</v>
      </c>
      <c r="C5" s="2">
        <v>10</v>
      </c>
      <c r="D5" s="2">
        <v>5</v>
      </c>
      <c r="E5" s="6">
        <v>0</v>
      </c>
      <c r="F5" s="6">
        <v>1</v>
      </c>
      <c r="G5" s="6">
        <v>0</v>
      </c>
      <c r="H5" s="6">
        <v>0</v>
      </c>
      <c r="I5" s="12">
        <f t="shared" si="0"/>
        <v>1</v>
      </c>
      <c r="K5" s="14">
        <v>0.9</v>
      </c>
      <c r="L5" s="14">
        <v>1</v>
      </c>
      <c r="M5" s="14">
        <v>1.2</v>
      </c>
      <c r="N5" s="14">
        <f t="shared" si="2"/>
        <v>1.0166666666666668</v>
      </c>
      <c r="O5" s="14">
        <f t="shared" si="3"/>
        <v>2.3333333333333108</v>
      </c>
      <c r="P5" s="14">
        <f t="shared" si="4"/>
        <v>3.6666666666666226</v>
      </c>
      <c r="Q5" s="5">
        <f ca="1">_xll.PsiPert(K5,L5,M5)</f>
        <v>0.95301306327374069</v>
      </c>
      <c r="R5" s="18">
        <f t="shared" ref="R5:R12" ca="1" si="9">Q5*C5</f>
        <v>9.5301306327374071</v>
      </c>
      <c r="T5" s="17">
        <v>0.8</v>
      </c>
      <c r="U5" s="17">
        <v>1</v>
      </c>
      <c r="V5" s="17">
        <v>1.1000000000000001</v>
      </c>
      <c r="W5" s="17">
        <f>(T5+4*U5+V5)/6</f>
        <v>0.98333333333333339</v>
      </c>
      <c r="X5" s="17">
        <f>((W5-T5)*(2*U5-T5-V5))/((U5-W5)*(V5-T5))</f>
        <v>3.6666666666666745</v>
      </c>
      <c r="Y5" s="17">
        <f>(X5*(V5-W5))/(W5-T5)</f>
        <v>2.3333333333333388</v>
      </c>
      <c r="Z5" s="5">
        <f ca="1">_xll.PsiPert(K5,L5,M5)</f>
        <v>0.93365748695782669</v>
      </c>
      <c r="AA5" s="18">
        <f ca="1">Z5*D5</f>
        <v>4.6682874347891339</v>
      </c>
      <c r="AD5" s="5">
        <f ca="1">Z5*D5*(E5*(1+1/(1+$AC$14)+1/(1+$AC$14)^2)+F5*(1/(1+$AC$14)+1/(1+$AC$14)^2)+G5*(1/(1+$AC$14)^2))</f>
        <v>8.6802623504015646</v>
      </c>
      <c r="AF5" s="4" t="str">
        <f t="shared" si="1"/>
        <v>2</v>
      </c>
      <c r="AJ5" s="5"/>
    </row>
    <row r="6" spans="1:36" x14ac:dyDescent="0.25">
      <c r="A6">
        <v>4</v>
      </c>
      <c r="B6" s="6" t="s">
        <v>146</v>
      </c>
      <c r="C6" s="2">
        <v>5</v>
      </c>
      <c r="D6" s="2">
        <v>2</v>
      </c>
      <c r="E6" s="6">
        <v>0</v>
      </c>
      <c r="F6" s="6">
        <v>1</v>
      </c>
      <c r="G6" s="6">
        <v>0</v>
      </c>
      <c r="H6" s="6">
        <v>0</v>
      </c>
      <c r="I6" s="12">
        <f t="shared" si="0"/>
        <v>1</v>
      </c>
      <c r="K6" s="14">
        <v>0.9</v>
      </c>
      <c r="L6" s="14">
        <v>1</v>
      </c>
      <c r="M6" s="14">
        <v>1.2</v>
      </c>
      <c r="N6" s="14">
        <f t="shared" si="2"/>
        <v>1.0166666666666668</v>
      </c>
      <c r="O6" s="14">
        <f t="shared" si="3"/>
        <v>2.3333333333333108</v>
      </c>
      <c r="P6" s="14">
        <f t="shared" si="4"/>
        <v>3.6666666666666226</v>
      </c>
      <c r="Q6" s="5">
        <f ca="1">_xll.PsiPert(K6,L6,M6)</f>
        <v>1.0813248733496044</v>
      </c>
      <c r="R6" s="18">
        <f t="shared" ca="1" si="9"/>
        <v>5.406624366748022</v>
      </c>
      <c r="T6" s="17">
        <v>0.8</v>
      </c>
      <c r="U6" s="17">
        <v>1</v>
      </c>
      <c r="V6" s="17">
        <v>1.1000000000000001</v>
      </c>
      <c r="W6" s="17">
        <f>(T6+4*U6+V6)/6</f>
        <v>0.98333333333333339</v>
      </c>
      <c r="X6" s="17">
        <f>((W6-T6)*(2*U6-T6-V6))/((U6-W6)*(V6-T6))</f>
        <v>3.6666666666666745</v>
      </c>
      <c r="Y6" s="17">
        <f>(X6*(V6-W6))/(W6-T6)</f>
        <v>2.3333333333333388</v>
      </c>
      <c r="Z6" s="5">
        <f ca="1">_xll.PsiPert(K6,L6,M6)</f>
        <v>0.9436028526646667</v>
      </c>
      <c r="AA6" s="18">
        <f ca="1">Z6*D6</f>
        <v>1.8872057053293334</v>
      </c>
      <c r="AD6" s="5">
        <f ca="1">Z6*D6*(E6*(1+1/(1+$AC$14)+1/(1+$AC$14)^2)+F6*(1/(1+$AC$14)+1/(1+$AC$14)^2)+G6*(1/(1+$AC$14)^2))</f>
        <v>3.5090899736282388</v>
      </c>
      <c r="AF6" s="4" t="str">
        <f t="shared" si="1"/>
        <v>2</v>
      </c>
      <c r="AJ6" s="5"/>
    </row>
    <row r="7" spans="1:36" x14ac:dyDescent="0.25">
      <c r="A7">
        <v>5</v>
      </c>
      <c r="B7" s="6" t="s">
        <v>147</v>
      </c>
      <c r="C7" s="2">
        <v>10</v>
      </c>
      <c r="D7" s="2">
        <v>4</v>
      </c>
      <c r="E7" s="6">
        <v>0</v>
      </c>
      <c r="F7" s="6">
        <v>0</v>
      </c>
      <c r="G7" s="6">
        <v>1</v>
      </c>
      <c r="H7" s="6">
        <v>0</v>
      </c>
      <c r="I7" s="12">
        <f t="shared" si="0"/>
        <v>1</v>
      </c>
      <c r="K7" s="14">
        <v>0.9</v>
      </c>
      <c r="L7" s="14">
        <v>1</v>
      </c>
      <c r="M7" s="14">
        <v>1.2</v>
      </c>
      <c r="N7" s="14">
        <f t="shared" si="2"/>
        <v>1.0166666666666668</v>
      </c>
      <c r="O7" s="14">
        <f t="shared" si="3"/>
        <v>2.3333333333333108</v>
      </c>
      <c r="P7" s="14">
        <f t="shared" si="4"/>
        <v>3.6666666666666226</v>
      </c>
      <c r="Q7" s="5">
        <f ca="1">_xll.PsiPert(K7,L7,M7)</f>
        <v>1.1155157255329489</v>
      </c>
      <c r="R7" s="18">
        <f t="shared" ca="1" si="9"/>
        <v>11.155157255329488</v>
      </c>
      <c r="T7" s="17">
        <v>0.8</v>
      </c>
      <c r="U7" s="17">
        <v>1</v>
      </c>
      <c r="V7" s="17">
        <v>1.1000000000000001</v>
      </c>
      <c r="W7" s="17">
        <f>(T7+4*U7+V7)/6</f>
        <v>0.98333333333333339</v>
      </c>
      <c r="X7" s="17">
        <f>((W7-T7)*(2*U7-T7-V7))/((U7-W7)*(V7-T7))</f>
        <v>3.6666666666666745</v>
      </c>
      <c r="Y7" s="17">
        <f>(X7*(V7-W7))/(W7-T7)</f>
        <v>2.3333333333333388</v>
      </c>
      <c r="Z7" s="5">
        <f ca="1">_xll.PsiPert(K7,L7,M7)</f>
        <v>1.1289715547163091</v>
      </c>
      <c r="AA7" s="18">
        <f ca="1">Z7*D7</f>
        <v>4.5158862188652362</v>
      </c>
      <c r="AD7" s="5">
        <f ca="1">Z7*D7*(E7*(1+1/(1+$AC$14)+1/(1+$AC$14)^2)+F7*(1/(1+$AC$14)+1/(1+$AC$14)^2)+G7*(1/(1+$AC$14)^2))</f>
        <v>4.0960419218732298</v>
      </c>
      <c r="AF7" s="4" t="str">
        <f t="shared" si="1"/>
        <v>3</v>
      </c>
      <c r="AJ7" s="5"/>
    </row>
    <row r="8" spans="1:36" x14ac:dyDescent="0.25">
      <c r="A8">
        <v>6</v>
      </c>
      <c r="B8" s="6" t="s">
        <v>148</v>
      </c>
      <c r="C8" s="3">
        <v>15</v>
      </c>
      <c r="D8" s="3">
        <v>8</v>
      </c>
      <c r="E8" s="6">
        <v>1</v>
      </c>
      <c r="F8" s="6">
        <v>0</v>
      </c>
      <c r="G8" s="6">
        <v>0</v>
      </c>
      <c r="H8" s="6">
        <v>0</v>
      </c>
      <c r="I8" s="12">
        <f t="shared" si="0"/>
        <v>1</v>
      </c>
      <c r="K8" s="14">
        <v>0.8</v>
      </c>
      <c r="L8" s="14">
        <v>1</v>
      </c>
      <c r="M8" s="14">
        <v>1.7</v>
      </c>
      <c r="N8" s="14">
        <f t="shared" si="2"/>
        <v>1.0833333333333333</v>
      </c>
      <c r="O8" s="14">
        <f t="shared" si="3"/>
        <v>1.8888888888888899</v>
      </c>
      <c r="P8" s="14">
        <f t="shared" si="4"/>
        <v>4.111111111111116</v>
      </c>
      <c r="Q8" s="5">
        <f ca="1">_xll.PsiPert(K8,L8,M8)</f>
        <v>1.3667737421009563</v>
      </c>
      <c r="R8" s="18">
        <f t="shared" ca="1" si="9"/>
        <v>20.501606131514343</v>
      </c>
      <c r="T8" s="17">
        <v>0.8</v>
      </c>
      <c r="U8" s="17">
        <v>1</v>
      </c>
      <c r="V8" s="17">
        <v>1.1000000000000001</v>
      </c>
      <c r="W8" s="17">
        <f>(T8+4*U8+V8)/6</f>
        <v>0.98333333333333339</v>
      </c>
      <c r="X8" s="17">
        <f>((W8-T8)*(2*U8-T8-V8))/((U8-W8)*(V8-T8))</f>
        <v>3.6666666666666745</v>
      </c>
      <c r="Y8" s="17">
        <f>(X8*(V8-W8))/(W8-T8)</f>
        <v>2.3333333333333388</v>
      </c>
      <c r="Z8" s="5">
        <f ca="1">_xll.PsiPert(K8,L8,M8)</f>
        <v>1.4206849544825175</v>
      </c>
      <c r="AA8" s="18">
        <f ca="1">Z8*D8</f>
        <v>11.36547963586014</v>
      </c>
      <c r="AD8" s="5">
        <f t="shared" ref="AD8:AD12" ca="1" si="10">Z8*D8*(E8*(1+1/(1+$AC$14)+1/(1+$AC$14)^2)+F8*(1/(1+$AC$14)+1/(1+$AC$14)^2)+G8*(1/(1+$AC$14)^2))</f>
        <v>32.498571022266752</v>
      </c>
      <c r="AF8" s="4" t="str">
        <f t="shared" si="1"/>
        <v>1</v>
      </c>
      <c r="AJ8" s="5"/>
    </row>
    <row r="9" spans="1:36" x14ac:dyDescent="0.25">
      <c r="A9">
        <v>7</v>
      </c>
      <c r="B9" s="6" t="s">
        <v>149</v>
      </c>
      <c r="C9" s="3">
        <v>10</v>
      </c>
      <c r="D9" s="3">
        <v>2</v>
      </c>
      <c r="E9" s="6">
        <v>0</v>
      </c>
      <c r="F9" s="6">
        <v>0</v>
      </c>
      <c r="G9" s="6">
        <v>1</v>
      </c>
      <c r="H9" s="6">
        <v>0</v>
      </c>
      <c r="I9" s="12">
        <f t="shared" si="0"/>
        <v>1</v>
      </c>
      <c r="K9" s="14">
        <v>0.9</v>
      </c>
      <c r="L9" s="14">
        <v>1</v>
      </c>
      <c r="M9" s="14">
        <v>1.2</v>
      </c>
      <c r="N9" s="14">
        <f t="shared" si="2"/>
        <v>1.0166666666666668</v>
      </c>
      <c r="O9" s="14">
        <f t="shared" si="3"/>
        <v>2.3333333333333108</v>
      </c>
      <c r="P9" s="14">
        <f t="shared" si="4"/>
        <v>3.6666666666666226</v>
      </c>
      <c r="Q9" s="5">
        <f ca="1">_xll.PsiPert(K9,L9,M9)</f>
        <v>1.0383714383325697</v>
      </c>
      <c r="R9" s="18">
        <f t="shared" ca="1" si="9"/>
        <v>10.383714383325698</v>
      </c>
      <c r="T9" s="17">
        <v>0.85</v>
      </c>
      <c r="U9" s="17">
        <v>1</v>
      </c>
      <c r="V9" s="17">
        <v>1.1000000000000001</v>
      </c>
      <c r="W9" s="17">
        <f t="shared" si="5"/>
        <v>0.99166666666666659</v>
      </c>
      <c r="X9" s="17">
        <f t="shared" si="6"/>
        <v>3.3999999999999519</v>
      </c>
      <c r="Y9" s="17">
        <f t="shared" si="7"/>
        <v>2.5999999999999681</v>
      </c>
      <c r="Z9" s="5">
        <f ca="1">_xll.PsiPert(K9,L9,M9)</f>
        <v>0.90754567530723895</v>
      </c>
      <c r="AA9" s="18">
        <f t="shared" ca="1" si="8"/>
        <v>1.8150913506144779</v>
      </c>
      <c r="AD9" s="5">
        <f t="shared" ca="1" si="10"/>
        <v>1.6463413611015671</v>
      </c>
      <c r="AF9" s="4" t="str">
        <f t="shared" si="1"/>
        <v>3</v>
      </c>
      <c r="AJ9" s="5"/>
    </row>
    <row r="10" spans="1:36" x14ac:dyDescent="0.25">
      <c r="A10">
        <v>8</v>
      </c>
      <c r="B10" s="6" t="s">
        <v>150</v>
      </c>
      <c r="C10" s="3">
        <v>2</v>
      </c>
      <c r="D10" s="3">
        <v>1</v>
      </c>
      <c r="E10" s="6">
        <v>0</v>
      </c>
      <c r="F10" s="6">
        <v>1</v>
      </c>
      <c r="G10" s="6">
        <v>0</v>
      </c>
      <c r="H10" s="6">
        <v>0</v>
      </c>
      <c r="I10" s="12">
        <f t="shared" si="0"/>
        <v>1</v>
      </c>
      <c r="K10" s="14">
        <v>0.9</v>
      </c>
      <c r="L10" s="14">
        <v>1</v>
      </c>
      <c r="M10" s="14">
        <v>1.2</v>
      </c>
      <c r="N10" s="14">
        <f t="shared" si="2"/>
        <v>1.0166666666666668</v>
      </c>
      <c r="O10" s="14">
        <f t="shared" si="3"/>
        <v>2.3333333333333108</v>
      </c>
      <c r="P10" s="14">
        <f t="shared" si="4"/>
        <v>3.6666666666666226</v>
      </c>
      <c r="Q10" s="5">
        <f ca="1">_xll.PsiPert(K10,L10,M10)</f>
        <v>0.9650127233124931</v>
      </c>
      <c r="R10" s="18">
        <f t="shared" ca="1" si="9"/>
        <v>1.9300254466249862</v>
      </c>
      <c r="T10" s="17">
        <v>0.85</v>
      </c>
      <c r="U10" s="17">
        <v>1</v>
      </c>
      <c r="V10" s="17">
        <v>1.1000000000000001</v>
      </c>
      <c r="W10" s="17">
        <f t="shared" si="5"/>
        <v>0.99166666666666659</v>
      </c>
      <c r="X10" s="17">
        <f t="shared" si="6"/>
        <v>3.3999999999999519</v>
      </c>
      <c r="Y10" s="17">
        <f t="shared" si="7"/>
        <v>2.5999999999999681</v>
      </c>
      <c r="Z10" s="5">
        <f ca="1">_xll.PsiPert(K10,L10,M10)</f>
        <v>0.99011558914475251</v>
      </c>
      <c r="AA10" s="18">
        <f t="shared" ca="1" si="8"/>
        <v>0.99011558914475251</v>
      </c>
      <c r="AD10" s="5">
        <f t="shared" ca="1" si="10"/>
        <v>1.8410312541920568</v>
      </c>
      <c r="AF10" s="4" t="str">
        <f t="shared" si="1"/>
        <v>2</v>
      </c>
      <c r="AJ10" s="5"/>
    </row>
    <row r="11" spans="1:36" x14ac:dyDescent="0.25">
      <c r="A11">
        <v>9</v>
      </c>
      <c r="B11" s="6" t="s">
        <v>154</v>
      </c>
      <c r="C11" s="3">
        <v>3</v>
      </c>
      <c r="D11" s="3">
        <v>1</v>
      </c>
      <c r="E11" s="6">
        <v>1</v>
      </c>
      <c r="F11" s="6">
        <v>0</v>
      </c>
      <c r="G11" s="6">
        <v>0</v>
      </c>
      <c r="H11" s="6">
        <v>0</v>
      </c>
      <c r="I11" s="12">
        <f t="shared" si="0"/>
        <v>1</v>
      </c>
      <c r="K11" s="14">
        <v>0.9</v>
      </c>
      <c r="L11" s="14">
        <v>1</v>
      </c>
      <c r="M11" s="14">
        <v>1.2</v>
      </c>
      <c r="N11" s="14">
        <f t="shared" si="2"/>
        <v>1.0166666666666668</v>
      </c>
      <c r="O11" s="14">
        <f t="shared" si="3"/>
        <v>2.3333333333333108</v>
      </c>
      <c r="P11" s="14">
        <f t="shared" si="4"/>
        <v>3.6666666666666226</v>
      </c>
      <c r="Q11" s="5">
        <f ca="1">_xll.PsiPert(K11,L11,M11)</f>
        <v>1.0517927343614004</v>
      </c>
      <c r="R11" s="18">
        <f t="shared" ca="1" si="9"/>
        <v>3.1553782030842012</v>
      </c>
      <c r="T11" s="17">
        <v>0.95</v>
      </c>
      <c r="U11" s="17">
        <v>1</v>
      </c>
      <c r="V11" s="17">
        <v>1.1000000000000001</v>
      </c>
      <c r="W11" s="17">
        <f t="shared" si="5"/>
        <v>1.0083333333333335</v>
      </c>
      <c r="X11" s="17">
        <f t="shared" si="6"/>
        <v>2.3333333333332891</v>
      </c>
      <c r="Y11" s="17">
        <f t="shared" si="7"/>
        <v>3.6666666666665777</v>
      </c>
      <c r="Z11" s="5">
        <f ca="1">_xll.PsiPert(K11,L11,M11)</f>
        <v>0.94504126418249301</v>
      </c>
      <c r="AA11" s="18">
        <f t="shared" ca="1" si="8"/>
        <v>0.94504126418249301</v>
      </c>
      <c r="AD11" s="5">
        <f t="shared" ca="1" si="10"/>
        <v>2.7022608483766977</v>
      </c>
      <c r="AF11" s="4" t="str">
        <f t="shared" si="1"/>
        <v>1</v>
      </c>
      <c r="AJ11" s="5"/>
    </row>
    <row r="12" spans="1:36" x14ac:dyDescent="0.25">
      <c r="A12">
        <v>10</v>
      </c>
      <c r="B12" s="6" t="s">
        <v>153</v>
      </c>
      <c r="C12" s="3">
        <v>7</v>
      </c>
      <c r="D12" s="3">
        <v>2</v>
      </c>
      <c r="E12" s="6">
        <v>0</v>
      </c>
      <c r="F12" s="6">
        <v>1</v>
      </c>
      <c r="G12" s="6">
        <v>0</v>
      </c>
      <c r="H12" s="6">
        <v>0</v>
      </c>
      <c r="I12" s="12">
        <f t="shared" si="0"/>
        <v>1</v>
      </c>
      <c r="K12" s="14">
        <v>0.9</v>
      </c>
      <c r="L12" s="14">
        <v>1</v>
      </c>
      <c r="M12" s="14">
        <v>1.2</v>
      </c>
      <c r="N12" s="14">
        <f t="shared" si="2"/>
        <v>1.0166666666666668</v>
      </c>
      <c r="O12" s="14">
        <f t="shared" si="3"/>
        <v>2.3333333333333108</v>
      </c>
      <c r="P12" s="14">
        <f t="shared" si="4"/>
        <v>3.6666666666666226</v>
      </c>
      <c r="Q12" s="5">
        <f ca="1">_xll.PsiPert(K12,L12,M12)</f>
        <v>0.99964514620323464</v>
      </c>
      <c r="R12" s="18">
        <f t="shared" ca="1" si="9"/>
        <v>6.9975160234226426</v>
      </c>
      <c r="T12" s="17">
        <v>0.95</v>
      </c>
      <c r="U12" s="17">
        <v>1</v>
      </c>
      <c r="V12" s="17">
        <v>1.1000000000000001</v>
      </c>
      <c r="W12" s="17">
        <f t="shared" si="5"/>
        <v>1.0083333333333335</v>
      </c>
      <c r="X12" s="17">
        <f t="shared" si="6"/>
        <v>2.3333333333332891</v>
      </c>
      <c r="Y12" s="17">
        <f t="shared" si="7"/>
        <v>3.6666666666665777</v>
      </c>
      <c r="Z12" s="5">
        <f ca="1">_xll.PsiPert(K12,L12,M12)</f>
        <v>0.9110523975593483</v>
      </c>
      <c r="AA12" s="18">
        <f t="shared" ca="1" si="8"/>
        <v>1.8221047951186966</v>
      </c>
      <c r="AD12" s="5">
        <f t="shared" ca="1" si="10"/>
        <v>3.3880406621254675</v>
      </c>
      <c r="AF12" s="4" t="str">
        <f t="shared" ref="AF12" si="11">IF(E12=1,"1",IF(F12=1,"2",IF(G12=1,"3","4")))</f>
        <v>2</v>
      </c>
      <c r="AJ12" s="5"/>
    </row>
    <row r="13" spans="1:36" ht="15.75" thickBot="1" x14ac:dyDescent="0.3">
      <c r="E13" s="48"/>
      <c r="F13" s="48"/>
      <c r="G13" s="48"/>
      <c r="R13" s="18"/>
    </row>
    <row r="14" spans="1:36" ht="16.5" thickBot="1" x14ac:dyDescent="0.3">
      <c r="B14" s="16" t="s">
        <v>20</v>
      </c>
      <c r="C14" s="15">
        <f>SUM(C3:C12)</f>
        <v>82</v>
      </c>
      <c r="E14" s="18">
        <f ca="1">SUMPRODUCT($C$3:$C$12,Q3:Q12,E3:E12) + _xll.PsiOutput()</f>
        <v>23.656984334598544</v>
      </c>
      <c r="F14" s="18">
        <f ca="1">SUMPRODUCT($C$3:$C$12,Q3:Q12,F3:F12) + _xll.PsiOutput()</f>
        <v>29.567568508995883</v>
      </c>
      <c r="G14" s="18">
        <f ca="1">SUMPRODUCT($C$3:$C$12,Q3:Q12,G3:G12) + _xll.PsiOutput()</f>
        <v>21.538871638655188</v>
      </c>
      <c r="H14" s="15">
        <f ca="1">SUMPRODUCT($C$3:$C$12,Q3:Q12,H3:H12)</f>
        <v>15.166255096748147</v>
      </c>
      <c r="R14" s="18"/>
      <c r="AA14" s="57"/>
      <c r="AB14" s="58" t="s">
        <v>10</v>
      </c>
      <c r="AC14" s="59">
        <v>0.05</v>
      </c>
      <c r="AD14" s="7">
        <f ca="1">SUM(AD3:AD12) + _xll.PsiOutput()</f>
        <v>62.257718543290359</v>
      </c>
    </row>
    <row r="15" spans="1:36" x14ac:dyDescent="0.25">
      <c r="E15" s="4"/>
      <c r="F15" s="4"/>
      <c r="G15" s="4"/>
    </row>
    <row r="16" spans="1:36" x14ac:dyDescent="0.25">
      <c r="E16" s="18" t="e">
        <f ca="1">_xll.PsiMean(E14)</f>
        <v>#N/A</v>
      </c>
      <c r="F16" s="18" t="e">
        <f ca="1">_xll.PsiMean(F14)</f>
        <v>#N/A</v>
      </c>
      <c r="G16" s="18" t="e">
        <f ca="1">_xll.PsiMean(G14)</f>
        <v>#N/A</v>
      </c>
      <c r="AC16" s="16" t="s">
        <v>184</v>
      </c>
      <c r="AD16" s="5">
        <f ca="1">AD14</f>
        <v>62.257718543290359</v>
      </c>
      <c r="AF16" s="4" t="str">
        <f>AF3&amp;AF4&amp;AF5&amp;AF6&amp;AF7&amp;AF8&amp;AF9&amp;AF10&amp;AF11&amp;AF12</f>
        <v>2422313212</v>
      </c>
      <c r="AG16" s="9" t="s">
        <v>283</v>
      </c>
    </row>
    <row r="17" spans="1:39" x14ac:dyDescent="0.25">
      <c r="E17" s="18"/>
      <c r="F17" s="18"/>
      <c r="G17" s="18"/>
      <c r="AC17" s="16"/>
      <c r="AD17" s="5"/>
    </row>
    <row r="18" spans="1:39" s="4" customFormat="1" x14ac:dyDescent="0.25">
      <c r="A18"/>
      <c r="B18"/>
      <c r="C18"/>
      <c r="D18"/>
      <c r="E18" s="4">
        <v>20</v>
      </c>
      <c r="F18" s="4">
        <v>30</v>
      </c>
      <c r="G18" s="4">
        <v>25</v>
      </c>
      <c r="H18"/>
      <c r="I18" s="9"/>
      <c r="J18"/>
      <c r="K18"/>
      <c r="L18"/>
      <c r="M18"/>
      <c r="N18"/>
      <c r="O18"/>
      <c r="P18"/>
      <c r="S18" s="9"/>
      <c r="T18" s="9"/>
      <c r="U18" s="9"/>
      <c r="V18" s="9"/>
      <c r="W18" s="9"/>
      <c r="X18" s="9"/>
      <c r="Y18" s="9"/>
      <c r="AB18" s="9"/>
      <c r="AC18"/>
      <c r="AF18" s="4">
        <v>2423213213</v>
      </c>
      <c r="AG18" s="9" t="s">
        <v>173</v>
      </c>
      <c r="AL18"/>
      <c r="AM18"/>
    </row>
    <row r="19" spans="1:39" s="4" customFormat="1" x14ac:dyDescent="0.25">
      <c r="A19"/>
      <c r="B19"/>
      <c r="C19"/>
      <c r="D19"/>
      <c r="H19"/>
      <c r="I19" s="9"/>
      <c r="J19"/>
      <c r="K19"/>
      <c r="L19"/>
      <c r="M19"/>
      <c r="N19"/>
      <c r="O19"/>
      <c r="P19"/>
      <c r="S19" s="9"/>
      <c r="T19" s="9"/>
      <c r="U19" s="9"/>
      <c r="V19" s="9"/>
      <c r="W19" s="9"/>
      <c r="X19" s="9"/>
      <c r="Y19" s="9"/>
      <c r="AB19" s="9"/>
      <c r="AC19"/>
      <c r="AL19"/>
      <c r="AM19"/>
    </row>
    <row r="20" spans="1:39" x14ac:dyDescent="0.25">
      <c r="E20" s="4" t="str">
        <f ca="1">IF(E14&gt;E18,"Exceeded","OK")</f>
        <v>Exceeded</v>
      </c>
      <c r="F20" s="4" t="str">
        <f ca="1">IF(F14&gt;F18,"Exceeded","OK")</f>
        <v>OK</v>
      </c>
      <c r="G20" s="4" t="str">
        <f ca="1">IF(G14&gt;G18,"Exceeded","OK")</f>
        <v>OK</v>
      </c>
    </row>
    <row r="22" spans="1:39" x14ac:dyDescent="0.25">
      <c r="B22" s="46" t="s">
        <v>156</v>
      </c>
    </row>
    <row r="23" spans="1:39" x14ac:dyDescent="0.25">
      <c r="B23" t="s">
        <v>157</v>
      </c>
    </row>
  </sheetData>
  <phoneticPr fontId="4" type="noConversion"/>
  <conditionalFormatting sqref="E3:H12">
    <cfRule type="cellIs" dxfId="2" priority="3" operator="equal">
      <formula>1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893D7-2227-4FC0-B365-4688BF5E0516}">
  <sheetPr codeName="Sheet13"/>
  <dimension ref="A1:K86"/>
  <sheetViews>
    <sheetView showGridLines="0" workbookViewId="0">
      <selection activeCell="D12" sqref="D12"/>
    </sheetView>
  </sheetViews>
  <sheetFormatPr defaultRowHeight="15" x14ac:dyDescent="0.25"/>
  <cols>
    <col min="1" max="1" width="2.28515625" customWidth="1"/>
    <col min="2" max="3" width="38.28515625" bestFit="1" customWidth="1"/>
    <col min="4" max="4" width="104.28515625" bestFit="1" customWidth="1"/>
    <col min="5" max="8" width="12" bestFit="1" customWidth="1"/>
    <col min="9" max="11" width="14.5703125" bestFit="1" customWidth="1"/>
  </cols>
  <sheetData>
    <row r="1" spans="1:4" x14ac:dyDescent="0.25">
      <c r="A1" s="60" t="s">
        <v>191</v>
      </c>
    </row>
    <row r="2" spans="1:4" x14ac:dyDescent="0.25">
      <c r="A2" s="60" t="s">
        <v>284</v>
      </c>
    </row>
    <row r="3" spans="1:4" x14ac:dyDescent="0.25">
      <c r="A3" s="60" t="s">
        <v>285</v>
      </c>
    </row>
    <row r="4" spans="1:4" x14ac:dyDescent="0.25">
      <c r="A4" s="60" t="s">
        <v>286</v>
      </c>
    </row>
    <row r="6" spans="1:4" ht="15.75" thickBot="1" x14ac:dyDescent="0.3">
      <c r="A6" t="s">
        <v>192</v>
      </c>
    </row>
    <row r="7" spans="1:4" ht="15.75" thickBot="1" x14ac:dyDescent="0.3">
      <c r="B7" s="63" t="s">
        <v>193</v>
      </c>
      <c r="C7" s="63"/>
      <c r="D7" s="63" t="s">
        <v>50</v>
      </c>
    </row>
    <row r="8" spans="1:4" x14ac:dyDescent="0.25">
      <c r="B8" s="61" t="s">
        <v>194</v>
      </c>
      <c r="C8" s="61"/>
      <c r="D8" s="61">
        <v>1</v>
      </c>
    </row>
    <row r="9" spans="1:4" x14ac:dyDescent="0.25">
      <c r="B9" s="61" t="s">
        <v>195</v>
      </c>
      <c r="C9" s="61"/>
      <c r="D9" s="61">
        <v>1000</v>
      </c>
    </row>
    <row r="10" spans="1:4" x14ac:dyDescent="0.25">
      <c r="B10" s="61" t="s">
        <v>196</v>
      </c>
      <c r="C10" s="61"/>
      <c r="D10" s="61">
        <v>0</v>
      </c>
    </row>
    <row r="11" spans="1:4" x14ac:dyDescent="0.25">
      <c r="B11" s="61" t="s">
        <v>197</v>
      </c>
      <c r="C11" s="61"/>
      <c r="D11" s="61">
        <v>1</v>
      </c>
    </row>
    <row r="12" spans="1:4" x14ac:dyDescent="0.25">
      <c r="B12" s="61" t="s">
        <v>198</v>
      </c>
      <c r="C12" s="61"/>
      <c r="D12" s="61" t="s">
        <v>199</v>
      </c>
    </row>
    <row r="13" spans="1:4" x14ac:dyDescent="0.25">
      <c r="B13" s="61" t="s">
        <v>200</v>
      </c>
      <c r="C13" s="61"/>
      <c r="D13" s="61" t="s">
        <v>201</v>
      </c>
    </row>
    <row r="14" spans="1:4" x14ac:dyDescent="0.25">
      <c r="B14" s="61" t="s">
        <v>202</v>
      </c>
      <c r="C14" s="61"/>
      <c r="D14" s="61" t="s">
        <v>203</v>
      </c>
    </row>
    <row r="15" spans="1:4" x14ac:dyDescent="0.25">
      <c r="B15" s="61" t="s">
        <v>204</v>
      </c>
      <c r="C15" s="61"/>
      <c r="D15" s="61">
        <v>0</v>
      </c>
    </row>
    <row r="16" spans="1:4" x14ac:dyDescent="0.25">
      <c r="B16" s="61" t="s">
        <v>205</v>
      </c>
      <c r="C16" s="61"/>
      <c r="D16" s="61" t="s">
        <v>206</v>
      </c>
    </row>
    <row r="17" spans="1:11" ht="15.75" thickBot="1" x14ac:dyDescent="0.3">
      <c r="B17" s="62" t="s">
        <v>207</v>
      </c>
      <c r="C17" s="62"/>
      <c r="D17" s="62" t="s">
        <v>58</v>
      </c>
    </row>
    <row r="18" spans="1:11" x14ac:dyDescent="0.25">
      <c r="B18" s="64"/>
      <c r="C18" s="64"/>
      <c r="D18" s="64"/>
    </row>
    <row r="19" spans="1:11" ht="15.75" thickBot="1" x14ac:dyDescent="0.3">
      <c r="B19" s="65" t="s">
        <v>208</v>
      </c>
      <c r="C19" s="65"/>
      <c r="D19" s="65" t="s">
        <v>209</v>
      </c>
    </row>
    <row r="20" spans="1:11" x14ac:dyDescent="0.25">
      <c r="B20" s="61" t="s">
        <v>210</v>
      </c>
      <c r="C20" s="61"/>
      <c r="D20" s="61">
        <v>42</v>
      </c>
    </row>
    <row r="21" spans="1:11" x14ac:dyDescent="0.25">
      <c r="B21" s="61" t="s">
        <v>211</v>
      </c>
      <c r="C21" s="61"/>
      <c r="D21" s="61">
        <v>10</v>
      </c>
    </row>
    <row r="22" spans="1:11" ht="15.75" thickBot="1" x14ac:dyDescent="0.3">
      <c r="B22" s="62" t="s">
        <v>212</v>
      </c>
      <c r="C22" s="62"/>
      <c r="D22" s="62">
        <v>9</v>
      </c>
    </row>
    <row r="23" spans="1:11" x14ac:dyDescent="0.25">
      <c r="B23" s="64"/>
      <c r="C23" s="64"/>
      <c r="D23" s="64"/>
    </row>
    <row r="24" spans="1:11" ht="15.75" thickBot="1" x14ac:dyDescent="0.3">
      <c r="B24" s="65" t="s">
        <v>213</v>
      </c>
      <c r="C24" s="65" t="s">
        <v>214</v>
      </c>
      <c r="D24" s="65" t="s">
        <v>50</v>
      </c>
    </row>
    <row r="25" spans="1:11" x14ac:dyDescent="0.25">
      <c r="B25" s="61" t="s">
        <v>215</v>
      </c>
      <c r="C25" s="61" t="s">
        <v>216</v>
      </c>
      <c r="D25" s="61">
        <v>-1E+30</v>
      </c>
    </row>
    <row r="26" spans="1:11" x14ac:dyDescent="0.25">
      <c r="B26" s="61" t="s">
        <v>217</v>
      </c>
      <c r="C26" s="61" t="s">
        <v>216</v>
      </c>
      <c r="D26" s="61">
        <v>1E+30</v>
      </c>
    </row>
    <row r="27" spans="1:11" x14ac:dyDescent="0.25">
      <c r="B27" s="61" t="s">
        <v>218</v>
      </c>
      <c r="C27" s="61" t="s">
        <v>216</v>
      </c>
      <c r="D27" s="61">
        <v>-1E+30</v>
      </c>
    </row>
    <row r="28" spans="1:11" ht="15.75" thickBot="1" x14ac:dyDescent="0.3">
      <c r="B28" s="62" t="s">
        <v>219</v>
      </c>
      <c r="C28" s="62" t="s">
        <v>216</v>
      </c>
      <c r="D28" s="62">
        <v>1E+30</v>
      </c>
    </row>
    <row r="30" spans="1:11" ht="15.75" thickBot="1" x14ac:dyDescent="0.3">
      <c r="A30" t="s">
        <v>220</v>
      </c>
    </row>
    <row r="31" spans="1:11" ht="15.75" thickBot="1" x14ac:dyDescent="0.3">
      <c r="B31" s="63" t="s">
        <v>221</v>
      </c>
      <c r="C31" s="63" t="s">
        <v>222</v>
      </c>
      <c r="D31" s="63" t="s">
        <v>223</v>
      </c>
      <c r="E31" s="63" t="s">
        <v>19</v>
      </c>
      <c r="F31" s="63" t="s">
        <v>224</v>
      </c>
      <c r="G31" s="63" t="s">
        <v>225</v>
      </c>
      <c r="H31" s="63" t="s">
        <v>226</v>
      </c>
      <c r="I31" s="63" t="s">
        <v>227</v>
      </c>
      <c r="J31" s="63" t="s">
        <v>228</v>
      </c>
      <c r="K31" s="63" t="s">
        <v>229</v>
      </c>
    </row>
    <row r="32" spans="1:11" x14ac:dyDescent="0.25">
      <c r="B32" s="61" t="s">
        <v>166</v>
      </c>
      <c r="C32" s="61" t="s">
        <v>242</v>
      </c>
      <c r="D32" s="61" t="s">
        <v>230</v>
      </c>
      <c r="E32" s="61">
        <v>1.075</v>
      </c>
      <c r="F32" s="61">
        <v>8.71165065546462E-2</v>
      </c>
      <c r="G32" s="61">
        <v>0.95</v>
      </c>
      <c r="H32" s="61">
        <v>1.5</v>
      </c>
      <c r="I32" s="61">
        <v>1.0058273943301357</v>
      </c>
      <c r="J32" s="61">
        <v>1.0577804833427946</v>
      </c>
      <c r="K32" s="61">
        <v>1.1277530533228854</v>
      </c>
    </row>
    <row r="33" spans="2:11" x14ac:dyDescent="0.25">
      <c r="B33" s="61" t="s">
        <v>165</v>
      </c>
      <c r="C33" s="61" t="s">
        <v>244</v>
      </c>
      <c r="D33" s="61" t="s">
        <v>231</v>
      </c>
      <c r="E33" s="61">
        <v>1.0166666666666668</v>
      </c>
      <c r="F33" s="61">
        <v>5.5277079839256664E-2</v>
      </c>
      <c r="G33" s="61">
        <v>0.9</v>
      </c>
      <c r="H33" s="61">
        <v>1.2</v>
      </c>
      <c r="I33" s="61">
        <v>0.97396671274906488</v>
      </c>
      <c r="J33" s="61">
        <v>1.0127437521012366</v>
      </c>
      <c r="K33" s="61">
        <v>1.0555990066157479</v>
      </c>
    </row>
    <row r="34" spans="2:11" x14ac:dyDescent="0.25">
      <c r="B34" s="61" t="s">
        <v>164</v>
      </c>
      <c r="C34" s="61" t="s">
        <v>246</v>
      </c>
      <c r="D34" s="61" t="s">
        <v>232</v>
      </c>
      <c r="E34" s="61">
        <v>1.0166666666666668</v>
      </c>
      <c r="F34" s="61">
        <v>5.5277079839256664E-2</v>
      </c>
      <c r="G34" s="61">
        <v>0.9</v>
      </c>
      <c r="H34" s="61">
        <v>1.2</v>
      </c>
      <c r="I34" s="61">
        <v>0.97396671274906488</v>
      </c>
      <c r="J34" s="61">
        <v>1.0127437521012366</v>
      </c>
      <c r="K34" s="61">
        <v>1.0555990066157479</v>
      </c>
    </row>
    <row r="35" spans="2:11" x14ac:dyDescent="0.25">
      <c r="B35" s="61" t="s">
        <v>163</v>
      </c>
      <c r="C35" s="61" t="s">
        <v>248</v>
      </c>
      <c r="D35" s="61" t="s">
        <v>233</v>
      </c>
      <c r="E35" s="61">
        <v>1.0166666666666668</v>
      </c>
      <c r="F35" s="61">
        <v>5.5277079839256664E-2</v>
      </c>
      <c r="G35" s="61">
        <v>0.9</v>
      </c>
      <c r="H35" s="61">
        <v>1.2</v>
      </c>
      <c r="I35" s="61">
        <v>0.97396671274906488</v>
      </c>
      <c r="J35" s="61">
        <v>1.0127437521012366</v>
      </c>
      <c r="K35" s="61">
        <v>1.0555990066157479</v>
      </c>
    </row>
    <row r="36" spans="2:11" x14ac:dyDescent="0.25">
      <c r="B36" s="61" t="s">
        <v>162</v>
      </c>
      <c r="C36" s="61" t="s">
        <v>250</v>
      </c>
      <c r="D36" s="61" t="s">
        <v>234</v>
      </c>
      <c r="E36" s="61">
        <v>1.0166666666666668</v>
      </c>
      <c r="F36" s="61">
        <v>5.5277079839256664E-2</v>
      </c>
      <c r="G36" s="61">
        <v>0.9</v>
      </c>
      <c r="H36" s="61">
        <v>1.2</v>
      </c>
      <c r="I36" s="61">
        <v>0.97396671274906488</v>
      </c>
      <c r="J36" s="61">
        <v>1.0127437521012366</v>
      </c>
      <c r="K36" s="61">
        <v>1.0555990066157479</v>
      </c>
    </row>
    <row r="37" spans="2:11" x14ac:dyDescent="0.25">
      <c r="B37" s="61" t="s">
        <v>252</v>
      </c>
      <c r="C37" s="61" t="s">
        <v>253</v>
      </c>
      <c r="D37" s="61" t="s">
        <v>235</v>
      </c>
      <c r="E37" s="61">
        <v>1.0833333333333333</v>
      </c>
      <c r="F37" s="61">
        <v>0.15798834596361042</v>
      </c>
      <c r="G37" s="61">
        <v>0.8</v>
      </c>
      <c r="H37" s="61">
        <v>1.7</v>
      </c>
      <c r="I37" s="61">
        <v>0.95910073085023817</v>
      </c>
      <c r="J37" s="61">
        <v>1.0638532776608698</v>
      </c>
      <c r="K37" s="61">
        <v>1.1888974862209065</v>
      </c>
    </row>
    <row r="38" spans="2:11" x14ac:dyDescent="0.25">
      <c r="B38" s="61" t="s">
        <v>254</v>
      </c>
      <c r="C38" s="61" t="s">
        <v>255</v>
      </c>
      <c r="D38" s="61" t="s">
        <v>236</v>
      </c>
      <c r="E38" s="61">
        <v>1.0166666666666668</v>
      </c>
      <c r="F38" s="61">
        <v>5.5277079839256664E-2</v>
      </c>
      <c r="G38" s="61">
        <v>0.9</v>
      </c>
      <c r="H38" s="61">
        <v>1.2</v>
      </c>
      <c r="I38" s="61">
        <v>0.97396671274906488</v>
      </c>
      <c r="J38" s="61">
        <v>1.0127437521012366</v>
      </c>
      <c r="K38" s="61">
        <v>1.0555990066157479</v>
      </c>
    </row>
    <row r="39" spans="2:11" x14ac:dyDescent="0.25">
      <c r="B39" s="61" t="s">
        <v>256</v>
      </c>
      <c r="C39" s="61" t="s">
        <v>257</v>
      </c>
      <c r="D39" s="61" t="s">
        <v>237</v>
      </c>
      <c r="E39" s="61">
        <v>1.0166666666666668</v>
      </c>
      <c r="F39" s="61">
        <v>5.5277079839256664E-2</v>
      </c>
      <c r="G39" s="61">
        <v>0.9</v>
      </c>
      <c r="H39" s="61">
        <v>1.2</v>
      </c>
      <c r="I39" s="61">
        <v>0.97396671274906488</v>
      </c>
      <c r="J39" s="61">
        <v>1.0127437521012366</v>
      </c>
      <c r="K39" s="61">
        <v>1.0555990066157479</v>
      </c>
    </row>
    <row r="40" spans="2:11" x14ac:dyDescent="0.25">
      <c r="B40" s="61" t="s">
        <v>258</v>
      </c>
      <c r="C40" s="61" t="s">
        <v>259</v>
      </c>
      <c r="D40" s="61" t="s">
        <v>238</v>
      </c>
      <c r="E40" s="61">
        <v>1.0166666666666668</v>
      </c>
      <c r="F40" s="61">
        <v>5.5277079839256664E-2</v>
      </c>
      <c r="G40" s="61">
        <v>0.9</v>
      </c>
      <c r="H40" s="61">
        <v>1.2</v>
      </c>
      <c r="I40" s="61">
        <v>0.97396671274906488</v>
      </c>
      <c r="J40" s="61">
        <v>1.0127437521012366</v>
      </c>
      <c r="K40" s="61">
        <v>1.0555990066157479</v>
      </c>
    </row>
    <row r="41" spans="2:11" x14ac:dyDescent="0.25">
      <c r="B41" s="61" t="s">
        <v>260</v>
      </c>
      <c r="C41" s="61" t="s">
        <v>261</v>
      </c>
      <c r="D41" s="61" t="s">
        <v>239</v>
      </c>
      <c r="E41" s="61">
        <v>1.0166666666666668</v>
      </c>
      <c r="F41" s="61">
        <v>5.5277079839256664E-2</v>
      </c>
      <c r="G41" s="61">
        <v>0.9</v>
      </c>
      <c r="H41" s="61">
        <v>1.2</v>
      </c>
      <c r="I41" s="61">
        <v>0.97396671274906488</v>
      </c>
      <c r="J41" s="61">
        <v>1.0127437521012366</v>
      </c>
      <c r="K41" s="61">
        <v>1.0555990066157479</v>
      </c>
    </row>
    <row r="42" spans="2:11" x14ac:dyDescent="0.25">
      <c r="B42" s="61" t="s">
        <v>262</v>
      </c>
      <c r="C42" s="61" t="s">
        <v>242</v>
      </c>
      <c r="D42" s="61" t="s">
        <v>230</v>
      </c>
      <c r="E42" s="61">
        <v>1.075</v>
      </c>
      <c r="F42" s="61">
        <v>8.71165065546462E-2</v>
      </c>
      <c r="G42" s="61">
        <v>0.95</v>
      </c>
      <c r="H42" s="61">
        <v>1.5</v>
      </c>
      <c r="I42" s="61">
        <v>1.0058273943301357</v>
      </c>
      <c r="J42" s="61">
        <v>1.0577804833427946</v>
      </c>
      <c r="K42" s="61">
        <v>1.1277530533228854</v>
      </c>
    </row>
    <row r="43" spans="2:11" x14ac:dyDescent="0.25">
      <c r="B43" s="61" t="s">
        <v>263</v>
      </c>
      <c r="C43" s="61" t="s">
        <v>244</v>
      </c>
      <c r="D43" s="61" t="s">
        <v>231</v>
      </c>
      <c r="E43" s="61">
        <v>1.0166666666666668</v>
      </c>
      <c r="F43" s="61">
        <v>5.5277079839256664E-2</v>
      </c>
      <c r="G43" s="61">
        <v>0.9</v>
      </c>
      <c r="H43" s="61">
        <v>1.2</v>
      </c>
      <c r="I43" s="61">
        <v>0.97396671274906488</v>
      </c>
      <c r="J43" s="61">
        <v>1.0127437521012366</v>
      </c>
      <c r="K43" s="61">
        <v>1.0555990066157479</v>
      </c>
    </row>
    <row r="44" spans="2:11" x14ac:dyDescent="0.25">
      <c r="B44" s="61" t="s">
        <v>264</v>
      </c>
      <c r="C44" s="61" t="s">
        <v>246</v>
      </c>
      <c r="D44" s="61" t="s">
        <v>232</v>
      </c>
      <c r="E44" s="61">
        <v>1.0166666666666668</v>
      </c>
      <c r="F44" s="61">
        <v>5.5277079839256664E-2</v>
      </c>
      <c r="G44" s="61">
        <v>0.9</v>
      </c>
      <c r="H44" s="61">
        <v>1.2</v>
      </c>
      <c r="I44" s="61">
        <v>0.97396671274906488</v>
      </c>
      <c r="J44" s="61">
        <v>1.0127437521012366</v>
      </c>
      <c r="K44" s="61">
        <v>1.0555990066157479</v>
      </c>
    </row>
    <row r="45" spans="2:11" x14ac:dyDescent="0.25">
      <c r="B45" s="61" t="s">
        <v>265</v>
      </c>
      <c r="C45" s="61" t="s">
        <v>248</v>
      </c>
      <c r="D45" s="61" t="s">
        <v>233</v>
      </c>
      <c r="E45" s="61">
        <v>1.0166666666666668</v>
      </c>
      <c r="F45" s="61">
        <v>5.5277079839256664E-2</v>
      </c>
      <c r="G45" s="61">
        <v>0.9</v>
      </c>
      <c r="H45" s="61">
        <v>1.2</v>
      </c>
      <c r="I45" s="61">
        <v>0.97396671274906488</v>
      </c>
      <c r="J45" s="61">
        <v>1.0127437521012366</v>
      </c>
      <c r="K45" s="61">
        <v>1.0555990066157479</v>
      </c>
    </row>
    <row r="46" spans="2:11" x14ac:dyDescent="0.25">
      <c r="B46" s="61" t="s">
        <v>168</v>
      </c>
      <c r="C46" s="61" t="s">
        <v>250</v>
      </c>
      <c r="D46" s="61" t="s">
        <v>234</v>
      </c>
      <c r="E46" s="61">
        <v>1.0166666666666668</v>
      </c>
      <c r="F46" s="61">
        <v>5.5277079839256664E-2</v>
      </c>
      <c r="G46" s="61">
        <v>0.9</v>
      </c>
      <c r="H46" s="61">
        <v>1.2</v>
      </c>
      <c r="I46" s="61">
        <v>0.97396671274906488</v>
      </c>
      <c r="J46" s="61">
        <v>1.0127437521012366</v>
      </c>
      <c r="K46" s="61">
        <v>1.0555990066157479</v>
      </c>
    </row>
    <row r="47" spans="2:11" x14ac:dyDescent="0.25">
      <c r="B47" s="61" t="s">
        <v>167</v>
      </c>
      <c r="C47" s="61" t="s">
        <v>253</v>
      </c>
      <c r="D47" s="61" t="s">
        <v>235</v>
      </c>
      <c r="E47" s="61">
        <v>1.0833333333333333</v>
      </c>
      <c r="F47" s="61">
        <v>0.15798834596361042</v>
      </c>
      <c r="G47" s="61">
        <v>0.8</v>
      </c>
      <c r="H47" s="61">
        <v>1.7</v>
      </c>
      <c r="I47" s="61">
        <v>0.95910073085023817</v>
      </c>
      <c r="J47" s="61">
        <v>1.0638532776608698</v>
      </c>
      <c r="K47" s="61">
        <v>1.1888974862209065</v>
      </c>
    </row>
    <row r="48" spans="2:11" x14ac:dyDescent="0.25">
      <c r="B48" s="61" t="s">
        <v>268</v>
      </c>
      <c r="C48" s="61" t="s">
        <v>255</v>
      </c>
      <c r="D48" s="61" t="s">
        <v>236</v>
      </c>
      <c r="E48" s="61">
        <v>1.0166666666666668</v>
      </c>
      <c r="F48" s="61">
        <v>5.5277079839256664E-2</v>
      </c>
      <c r="G48" s="61">
        <v>0.9</v>
      </c>
      <c r="H48" s="61">
        <v>1.2</v>
      </c>
      <c r="I48" s="61">
        <v>0.97396671274906488</v>
      </c>
      <c r="J48" s="61">
        <v>1.0127437521012366</v>
      </c>
      <c r="K48" s="61">
        <v>1.0555990066157479</v>
      </c>
    </row>
    <row r="49" spans="2:11" x14ac:dyDescent="0.25">
      <c r="B49" s="61" t="s">
        <v>269</v>
      </c>
      <c r="C49" s="61" t="s">
        <v>257</v>
      </c>
      <c r="D49" s="61" t="s">
        <v>237</v>
      </c>
      <c r="E49" s="61">
        <v>1.0166666666666668</v>
      </c>
      <c r="F49" s="61">
        <v>5.5277079839256664E-2</v>
      </c>
      <c r="G49" s="61">
        <v>0.9</v>
      </c>
      <c r="H49" s="61">
        <v>1.2</v>
      </c>
      <c r="I49" s="61">
        <v>0.97396671274906488</v>
      </c>
      <c r="J49" s="61">
        <v>1.0127437521012366</v>
      </c>
      <c r="K49" s="61">
        <v>1.0555990066157479</v>
      </c>
    </row>
    <row r="50" spans="2:11" x14ac:dyDescent="0.25">
      <c r="B50" s="61" t="s">
        <v>270</v>
      </c>
      <c r="C50" s="61" t="s">
        <v>259</v>
      </c>
      <c r="D50" s="61" t="s">
        <v>238</v>
      </c>
      <c r="E50" s="61">
        <v>1.0166666666666668</v>
      </c>
      <c r="F50" s="61">
        <v>5.5277079839256664E-2</v>
      </c>
      <c r="G50" s="61">
        <v>0.9</v>
      </c>
      <c r="H50" s="61">
        <v>1.2</v>
      </c>
      <c r="I50" s="61">
        <v>0.97396671274906488</v>
      </c>
      <c r="J50" s="61">
        <v>1.0127437521012366</v>
      </c>
      <c r="K50" s="61">
        <v>1.0555990066157479</v>
      </c>
    </row>
    <row r="51" spans="2:11" x14ac:dyDescent="0.25">
      <c r="B51" s="61" t="s">
        <v>271</v>
      </c>
      <c r="C51" s="61" t="s">
        <v>261</v>
      </c>
      <c r="D51" s="61" t="s">
        <v>239</v>
      </c>
      <c r="E51" s="61">
        <v>1.0166666666666668</v>
      </c>
      <c r="F51" s="61">
        <v>5.5277079839256664E-2</v>
      </c>
      <c r="G51" s="61">
        <v>0.9</v>
      </c>
      <c r="H51" s="61">
        <v>1.2</v>
      </c>
      <c r="I51" s="61">
        <v>0.97396671274906488</v>
      </c>
      <c r="J51" s="61">
        <v>1.0127437521012366</v>
      </c>
      <c r="K51" s="61">
        <v>1.0555990066157479</v>
      </c>
    </row>
    <row r="52" spans="2:11" x14ac:dyDescent="0.25">
      <c r="B52" s="66" t="s">
        <v>287</v>
      </c>
      <c r="C52" s="61" t="s">
        <v>287</v>
      </c>
      <c r="D52" s="61" t="s">
        <v>240</v>
      </c>
      <c r="E52" s="61">
        <v>0.98333333333333339</v>
      </c>
      <c r="F52" s="61">
        <v>5.5277079839256671E-2</v>
      </c>
      <c r="G52" s="61">
        <v>0.8</v>
      </c>
      <c r="H52" s="61">
        <v>1.1000000000000001</v>
      </c>
      <c r="I52" s="61">
        <v>0.94440099338425243</v>
      </c>
      <c r="J52" s="61">
        <v>0.98725624789876376</v>
      </c>
      <c r="K52" s="61">
        <v>1.0260332872509355</v>
      </c>
    </row>
    <row r="53" spans="2:11" x14ac:dyDescent="0.25">
      <c r="B53" s="66" t="s">
        <v>288</v>
      </c>
      <c r="C53" s="61" t="s">
        <v>288</v>
      </c>
      <c r="D53" s="61" t="s">
        <v>241</v>
      </c>
      <c r="E53" s="61">
        <v>0.9916666666666667</v>
      </c>
      <c r="F53" s="61">
        <v>8.4808374099851216E-2</v>
      </c>
      <c r="G53" s="61">
        <v>0.75</v>
      </c>
      <c r="H53" s="61">
        <v>1.2</v>
      </c>
      <c r="I53" s="61">
        <v>0.92958091568886814</v>
      </c>
      <c r="J53" s="61">
        <v>0.99363384174479497</v>
      </c>
      <c r="K53" s="61">
        <v>1.055643521404384</v>
      </c>
    </row>
    <row r="54" spans="2:11" x14ac:dyDescent="0.25">
      <c r="B54" s="66" t="s">
        <v>289</v>
      </c>
      <c r="C54" s="61" t="s">
        <v>289</v>
      </c>
      <c r="D54" s="61" t="s">
        <v>243</v>
      </c>
      <c r="E54" s="61">
        <v>1.075</v>
      </c>
      <c r="F54" s="61">
        <v>8.71165065546462E-2</v>
      </c>
      <c r="G54" s="61">
        <v>0.95</v>
      </c>
      <c r="H54" s="61">
        <v>1.5</v>
      </c>
      <c r="I54" s="61">
        <v>1.0058273943301357</v>
      </c>
      <c r="J54" s="61">
        <v>1.0577804833427946</v>
      </c>
      <c r="K54" s="61">
        <v>1.1277530533228854</v>
      </c>
    </row>
    <row r="55" spans="2:11" x14ac:dyDescent="0.25">
      <c r="B55" s="66" t="s">
        <v>290</v>
      </c>
      <c r="C55" s="61" t="s">
        <v>290</v>
      </c>
      <c r="D55" s="61" t="s">
        <v>245</v>
      </c>
      <c r="E55" s="61">
        <v>1.0166666666666668</v>
      </c>
      <c r="F55" s="61">
        <v>5.5277079839256664E-2</v>
      </c>
      <c r="G55" s="61">
        <v>0.9</v>
      </c>
      <c r="H55" s="61">
        <v>1.2</v>
      </c>
      <c r="I55" s="61">
        <v>0.97396671274906488</v>
      </c>
      <c r="J55" s="61">
        <v>1.0127437521012366</v>
      </c>
      <c r="K55" s="61">
        <v>1.0555990066157479</v>
      </c>
    </row>
    <row r="56" spans="2:11" x14ac:dyDescent="0.25">
      <c r="B56" s="66" t="s">
        <v>291</v>
      </c>
      <c r="C56" s="61" t="s">
        <v>291</v>
      </c>
      <c r="D56" s="61" t="s">
        <v>247</v>
      </c>
      <c r="E56" s="61">
        <v>1.0166666666666668</v>
      </c>
      <c r="F56" s="61">
        <v>5.5277079839256664E-2</v>
      </c>
      <c r="G56" s="61">
        <v>0.9</v>
      </c>
      <c r="H56" s="61">
        <v>1.2</v>
      </c>
      <c r="I56" s="61">
        <v>0.97396671274906488</v>
      </c>
      <c r="J56" s="61">
        <v>1.0127437521012366</v>
      </c>
      <c r="K56" s="61">
        <v>1.0555990066157479</v>
      </c>
    </row>
    <row r="57" spans="2:11" x14ac:dyDescent="0.25">
      <c r="B57" s="66" t="s">
        <v>292</v>
      </c>
      <c r="C57" s="61" t="s">
        <v>292</v>
      </c>
      <c r="D57" s="61" t="s">
        <v>249</v>
      </c>
      <c r="E57" s="61">
        <v>1.0166666666666668</v>
      </c>
      <c r="F57" s="61">
        <v>5.5277079839256664E-2</v>
      </c>
      <c r="G57" s="61">
        <v>0.9</v>
      </c>
      <c r="H57" s="61">
        <v>1.2</v>
      </c>
      <c r="I57" s="61">
        <v>0.97396671274906488</v>
      </c>
      <c r="J57" s="61">
        <v>1.0127437521012366</v>
      </c>
      <c r="K57" s="61">
        <v>1.0555990066157479</v>
      </c>
    </row>
    <row r="58" spans="2:11" x14ac:dyDescent="0.25">
      <c r="B58" s="66" t="s">
        <v>293</v>
      </c>
      <c r="C58" s="61" t="s">
        <v>293</v>
      </c>
      <c r="D58" s="61" t="s">
        <v>251</v>
      </c>
      <c r="E58" s="61">
        <v>1.0166666666666668</v>
      </c>
      <c r="F58" s="61">
        <v>5.5277079839256664E-2</v>
      </c>
      <c r="G58" s="61">
        <v>0.9</v>
      </c>
      <c r="H58" s="61">
        <v>1.2</v>
      </c>
      <c r="I58" s="61">
        <v>0.97396671274906488</v>
      </c>
      <c r="J58" s="61">
        <v>1.0127437521012366</v>
      </c>
      <c r="K58" s="61">
        <v>1.0555990066157479</v>
      </c>
    </row>
    <row r="59" spans="2:11" x14ac:dyDescent="0.25">
      <c r="B59" s="66" t="s">
        <v>294</v>
      </c>
      <c r="C59" s="61" t="s">
        <v>294</v>
      </c>
      <c r="D59" s="61" t="s">
        <v>235</v>
      </c>
      <c r="E59" s="61">
        <v>1.0833333333333333</v>
      </c>
      <c r="F59" s="61">
        <v>0.15798834596361042</v>
      </c>
      <c r="G59" s="61">
        <v>0.8</v>
      </c>
      <c r="H59" s="61">
        <v>1.7</v>
      </c>
      <c r="I59" s="61">
        <v>0.95910073085023817</v>
      </c>
      <c r="J59" s="61">
        <v>1.0638532776608698</v>
      </c>
      <c r="K59" s="61">
        <v>1.1888974862209065</v>
      </c>
    </row>
    <row r="60" spans="2:11" x14ac:dyDescent="0.25">
      <c r="B60" s="66" t="s">
        <v>295</v>
      </c>
      <c r="C60" s="61" t="s">
        <v>295</v>
      </c>
      <c r="D60" s="61" t="s">
        <v>236</v>
      </c>
      <c r="E60" s="61">
        <v>1.0166666666666668</v>
      </c>
      <c r="F60" s="61">
        <v>5.5277079839256664E-2</v>
      </c>
      <c r="G60" s="61">
        <v>0.9</v>
      </c>
      <c r="H60" s="61">
        <v>1.2</v>
      </c>
      <c r="I60" s="61">
        <v>0.97396671274906488</v>
      </c>
      <c r="J60" s="61">
        <v>1.0127437521012366</v>
      </c>
      <c r="K60" s="61">
        <v>1.0555990066157479</v>
      </c>
    </row>
    <row r="61" spans="2:11" x14ac:dyDescent="0.25">
      <c r="B61" s="66" t="s">
        <v>296</v>
      </c>
      <c r="C61" s="61" t="s">
        <v>296</v>
      </c>
      <c r="D61" s="61" t="s">
        <v>237</v>
      </c>
      <c r="E61" s="61">
        <v>1.0166666666666668</v>
      </c>
      <c r="F61" s="61">
        <v>5.5277079839256664E-2</v>
      </c>
      <c r="G61" s="61">
        <v>0.9</v>
      </c>
      <c r="H61" s="61">
        <v>1.2</v>
      </c>
      <c r="I61" s="61">
        <v>0.97396671274906488</v>
      </c>
      <c r="J61" s="61">
        <v>1.0127437521012366</v>
      </c>
      <c r="K61" s="61">
        <v>1.0555990066157479</v>
      </c>
    </row>
    <row r="62" spans="2:11" x14ac:dyDescent="0.25">
      <c r="B62" s="66" t="s">
        <v>297</v>
      </c>
      <c r="C62" s="61" t="s">
        <v>297</v>
      </c>
      <c r="D62" s="61" t="s">
        <v>238</v>
      </c>
      <c r="E62" s="61">
        <v>1.0166666666666668</v>
      </c>
      <c r="F62" s="61">
        <v>5.5277079839256664E-2</v>
      </c>
      <c r="G62" s="61">
        <v>0.9</v>
      </c>
      <c r="H62" s="61">
        <v>1.2</v>
      </c>
      <c r="I62" s="61">
        <v>0.97396671274906488</v>
      </c>
      <c r="J62" s="61">
        <v>1.0127437521012366</v>
      </c>
      <c r="K62" s="61">
        <v>1.0555990066157479</v>
      </c>
    </row>
    <row r="63" spans="2:11" x14ac:dyDescent="0.25">
      <c r="B63" s="66" t="s">
        <v>298</v>
      </c>
      <c r="C63" s="61" t="s">
        <v>298</v>
      </c>
      <c r="D63" s="61" t="s">
        <v>239</v>
      </c>
      <c r="E63" s="61">
        <v>1.0166666666666668</v>
      </c>
      <c r="F63" s="61">
        <v>5.5277079839256664E-2</v>
      </c>
      <c r="G63" s="61">
        <v>0.9</v>
      </c>
      <c r="H63" s="61">
        <v>1.2</v>
      </c>
      <c r="I63" s="61">
        <v>0.97396671274906488</v>
      </c>
      <c r="J63" s="61">
        <v>1.0127437521012366</v>
      </c>
      <c r="K63" s="61">
        <v>1.0555990066157479</v>
      </c>
    </row>
    <row r="64" spans="2:11" x14ac:dyDescent="0.25">
      <c r="B64" s="66" t="s">
        <v>299</v>
      </c>
      <c r="C64" s="61" t="s">
        <v>299</v>
      </c>
      <c r="D64" s="61" t="s">
        <v>230</v>
      </c>
      <c r="E64" s="61">
        <v>1.075</v>
      </c>
      <c r="F64" s="61">
        <v>8.71165065546462E-2</v>
      </c>
      <c r="G64" s="61">
        <v>0.95</v>
      </c>
      <c r="H64" s="61">
        <v>1.5</v>
      </c>
      <c r="I64" s="61">
        <v>1.0058273943301357</v>
      </c>
      <c r="J64" s="61">
        <v>1.0577804833427946</v>
      </c>
      <c r="K64" s="61">
        <v>1.1277530533228854</v>
      </c>
    </row>
    <row r="65" spans="1:11" x14ac:dyDescent="0.25">
      <c r="B65" s="66" t="s">
        <v>300</v>
      </c>
      <c r="C65" s="61" t="s">
        <v>300</v>
      </c>
      <c r="D65" s="61" t="s">
        <v>231</v>
      </c>
      <c r="E65" s="61">
        <v>1.0166666666666668</v>
      </c>
      <c r="F65" s="61">
        <v>5.5277079839256664E-2</v>
      </c>
      <c r="G65" s="61">
        <v>0.9</v>
      </c>
      <c r="H65" s="61">
        <v>1.2</v>
      </c>
      <c r="I65" s="61">
        <v>0.97396671274906488</v>
      </c>
      <c r="J65" s="61">
        <v>1.0127437521012366</v>
      </c>
      <c r="K65" s="61">
        <v>1.0555990066157479</v>
      </c>
    </row>
    <row r="66" spans="1:11" x14ac:dyDescent="0.25">
      <c r="B66" s="66" t="s">
        <v>301</v>
      </c>
      <c r="C66" s="61" t="s">
        <v>301</v>
      </c>
      <c r="D66" s="61" t="s">
        <v>232</v>
      </c>
      <c r="E66" s="61">
        <v>1.0166666666666668</v>
      </c>
      <c r="F66" s="61">
        <v>5.5277079839256664E-2</v>
      </c>
      <c r="G66" s="61">
        <v>0.9</v>
      </c>
      <c r="H66" s="61">
        <v>1.2</v>
      </c>
      <c r="I66" s="61">
        <v>0.97396671274906488</v>
      </c>
      <c r="J66" s="61">
        <v>1.0127437521012366</v>
      </c>
      <c r="K66" s="61">
        <v>1.0555990066157479</v>
      </c>
    </row>
    <row r="67" spans="1:11" x14ac:dyDescent="0.25">
      <c r="B67" s="66" t="s">
        <v>302</v>
      </c>
      <c r="C67" s="61" t="s">
        <v>302</v>
      </c>
      <c r="D67" s="61" t="s">
        <v>233</v>
      </c>
      <c r="E67" s="61">
        <v>1.0166666666666668</v>
      </c>
      <c r="F67" s="61">
        <v>5.5277079839256664E-2</v>
      </c>
      <c r="G67" s="61">
        <v>0.9</v>
      </c>
      <c r="H67" s="61">
        <v>1.2</v>
      </c>
      <c r="I67" s="61">
        <v>0.97396671274906488</v>
      </c>
      <c r="J67" s="61">
        <v>1.0127437521012366</v>
      </c>
      <c r="K67" s="61">
        <v>1.0555990066157479</v>
      </c>
    </row>
    <row r="68" spans="1:11" x14ac:dyDescent="0.25">
      <c r="B68" s="66" t="s">
        <v>303</v>
      </c>
      <c r="C68" s="61" t="s">
        <v>303</v>
      </c>
      <c r="D68" s="61" t="s">
        <v>266</v>
      </c>
      <c r="E68" s="61">
        <v>1.0166666666666668</v>
      </c>
      <c r="F68" s="61">
        <v>5.5277079839256664E-2</v>
      </c>
      <c r="G68" s="61">
        <v>0.9</v>
      </c>
      <c r="H68" s="61">
        <v>1.2</v>
      </c>
      <c r="I68" s="61">
        <v>0.97396671274906488</v>
      </c>
      <c r="J68" s="61">
        <v>1.0127437521012366</v>
      </c>
      <c r="K68" s="61">
        <v>1.0555990066157479</v>
      </c>
    </row>
    <row r="69" spans="1:11" x14ac:dyDescent="0.25">
      <c r="B69" s="66" t="s">
        <v>304</v>
      </c>
      <c r="C69" s="61" t="s">
        <v>304</v>
      </c>
      <c r="D69" s="61" t="s">
        <v>267</v>
      </c>
      <c r="E69" s="61">
        <v>1.0833333333333333</v>
      </c>
      <c r="F69" s="61">
        <v>0.15798834596361042</v>
      </c>
      <c r="G69" s="61">
        <v>0.8</v>
      </c>
      <c r="H69" s="61">
        <v>1.7</v>
      </c>
      <c r="I69" s="61">
        <v>0.95910073085023817</v>
      </c>
      <c r="J69" s="61">
        <v>1.0638532776608698</v>
      </c>
      <c r="K69" s="61">
        <v>1.1888974862209065</v>
      </c>
    </row>
    <row r="70" spans="1:11" x14ac:dyDescent="0.25">
      <c r="B70" s="66" t="s">
        <v>305</v>
      </c>
      <c r="C70" s="61" t="s">
        <v>305</v>
      </c>
      <c r="D70" s="61" t="s">
        <v>236</v>
      </c>
      <c r="E70" s="61">
        <v>1.0166666666666668</v>
      </c>
      <c r="F70" s="61">
        <v>5.5277079839256664E-2</v>
      </c>
      <c r="G70" s="61">
        <v>0.9</v>
      </c>
      <c r="H70" s="61">
        <v>1.2</v>
      </c>
      <c r="I70" s="61">
        <v>0.97396671274906488</v>
      </c>
      <c r="J70" s="61">
        <v>1.0127437521012366</v>
      </c>
      <c r="K70" s="61">
        <v>1.0555990066157479</v>
      </c>
    </row>
    <row r="71" spans="1:11" x14ac:dyDescent="0.25">
      <c r="B71" s="66" t="s">
        <v>306</v>
      </c>
      <c r="C71" s="61" t="s">
        <v>306</v>
      </c>
      <c r="D71" s="61" t="s">
        <v>237</v>
      </c>
      <c r="E71" s="61">
        <v>1.0166666666666668</v>
      </c>
      <c r="F71" s="61">
        <v>5.5277079839256664E-2</v>
      </c>
      <c r="G71" s="61">
        <v>0.9</v>
      </c>
      <c r="H71" s="61">
        <v>1.2</v>
      </c>
      <c r="I71" s="61">
        <v>0.97396671274906488</v>
      </c>
      <c r="J71" s="61">
        <v>1.0127437521012366</v>
      </c>
      <c r="K71" s="61">
        <v>1.0555990066157479</v>
      </c>
    </row>
    <row r="72" spans="1:11" x14ac:dyDescent="0.25">
      <c r="B72" s="66" t="s">
        <v>307</v>
      </c>
      <c r="C72" s="61" t="s">
        <v>307</v>
      </c>
      <c r="D72" s="61" t="s">
        <v>238</v>
      </c>
      <c r="E72" s="61">
        <v>1.0166666666666668</v>
      </c>
      <c r="F72" s="61">
        <v>5.5277079839256664E-2</v>
      </c>
      <c r="G72" s="61">
        <v>0.9</v>
      </c>
      <c r="H72" s="61">
        <v>1.2</v>
      </c>
      <c r="I72" s="61">
        <v>0.97396671274906488</v>
      </c>
      <c r="J72" s="61">
        <v>1.0127437521012366</v>
      </c>
      <c r="K72" s="61">
        <v>1.0555990066157479</v>
      </c>
    </row>
    <row r="73" spans="1:11" ht="15.75" thickBot="1" x14ac:dyDescent="0.3">
      <c r="B73" s="67" t="s">
        <v>308</v>
      </c>
      <c r="C73" s="62" t="s">
        <v>308</v>
      </c>
      <c r="D73" s="62" t="s">
        <v>239</v>
      </c>
      <c r="E73" s="62">
        <v>1.0166666666666668</v>
      </c>
      <c r="F73" s="62">
        <v>5.5277079839256664E-2</v>
      </c>
      <c r="G73" s="62">
        <v>0.9</v>
      </c>
      <c r="H73" s="62">
        <v>1.2</v>
      </c>
      <c r="I73" s="62">
        <v>0.97396671274906488</v>
      </c>
      <c r="J73" s="62">
        <v>1.0127437521012366</v>
      </c>
      <c r="K73" s="62">
        <v>1.0555990066157479</v>
      </c>
    </row>
    <row r="75" spans="1:11" ht="15.75" thickBot="1" x14ac:dyDescent="0.3">
      <c r="A75" t="s">
        <v>272</v>
      </c>
    </row>
    <row r="76" spans="1:11" ht="15.75" thickBot="1" x14ac:dyDescent="0.3">
      <c r="B76" s="63" t="s">
        <v>221</v>
      </c>
      <c r="C76" s="63" t="s">
        <v>222</v>
      </c>
      <c r="D76" s="63" t="s">
        <v>273</v>
      </c>
      <c r="E76" s="63" t="s">
        <v>19</v>
      </c>
      <c r="F76" s="63" t="s">
        <v>224</v>
      </c>
      <c r="G76" s="63" t="s">
        <v>225</v>
      </c>
      <c r="H76" s="63" t="s">
        <v>226</v>
      </c>
      <c r="I76" s="63" t="s">
        <v>227</v>
      </c>
      <c r="J76" s="63" t="s">
        <v>228</v>
      </c>
      <c r="K76" s="63" t="s">
        <v>229</v>
      </c>
    </row>
    <row r="77" spans="1:11" x14ac:dyDescent="0.25">
      <c r="B77" s="61" t="s">
        <v>278</v>
      </c>
      <c r="C77" s="61" t="s">
        <v>309</v>
      </c>
      <c r="D77" s="61" t="s">
        <v>274</v>
      </c>
      <c r="E77" s="61">
        <v>19.300033878682523</v>
      </c>
      <c r="F77" s="61">
        <v>2.3694710202160461</v>
      </c>
      <c r="G77" s="61">
        <v>14.821003157539266</v>
      </c>
      <c r="H77" s="61">
        <v>27.095538860605608</v>
      </c>
      <c r="I77" s="61">
        <v>17.408093599135142</v>
      </c>
      <c r="J77" s="61">
        <v>19.02001185704966</v>
      </c>
      <c r="K77" s="61">
        <v>20.89439458669953</v>
      </c>
    </row>
    <row r="78" spans="1:11" x14ac:dyDescent="0.25">
      <c r="B78" s="61" t="s">
        <v>279</v>
      </c>
      <c r="C78" s="61" t="s">
        <v>310</v>
      </c>
      <c r="D78" s="61" t="s">
        <v>275</v>
      </c>
      <c r="E78" s="61">
        <v>29.774978839196415</v>
      </c>
      <c r="F78" s="61">
        <v>0.8758668228377936</v>
      </c>
      <c r="G78" s="61">
        <v>27.462448304595821</v>
      </c>
      <c r="H78" s="61">
        <v>33.022666066855855</v>
      </c>
      <c r="I78" s="61">
        <v>29.179733120553621</v>
      </c>
      <c r="J78" s="61">
        <v>29.74847616616622</v>
      </c>
      <c r="K78" s="61">
        <v>30.386704951715032</v>
      </c>
    </row>
    <row r="79" spans="1:11" x14ac:dyDescent="0.25">
      <c r="B79" s="61" t="s">
        <v>280</v>
      </c>
      <c r="C79" s="61" t="s">
        <v>311</v>
      </c>
      <c r="D79" s="61" t="s">
        <v>276</v>
      </c>
      <c r="E79" s="61">
        <v>20.333397325882014</v>
      </c>
      <c r="F79" s="61">
        <v>0.78853013503979097</v>
      </c>
      <c r="G79" s="61">
        <v>18.387079524914341</v>
      </c>
      <c r="H79" s="61">
        <v>22.79586498146023</v>
      </c>
      <c r="I79" s="61">
        <v>19.777616777709067</v>
      </c>
      <c r="J79" s="61">
        <v>20.293694306813563</v>
      </c>
      <c r="K79" s="61">
        <v>20.854836751785591</v>
      </c>
    </row>
    <row r="80" spans="1:11" x14ac:dyDescent="0.25">
      <c r="B80" s="61" t="s">
        <v>281</v>
      </c>
      <c r="C80" s="61" t="s">
        <v>282</v>
      </c>
      <c r="D80" s="61" t="s">
        <v>277</v>
      </c>
      <c r="E80" s="61">
        <v>56.123065781828174</v>
      </c>
      <c r="F80" s="61">
        <v>3.6588575749147672</v>
      </c>
      <c r="G80" s="61">
        <v>48.831710341927312</v>
      </c>
      <c r="H80" s="61">
        <v>67.421592619619545</v>
      </c>
      <c r="I80" s="61">
        <v>53.317458574847578</v>
      </c>
      <c r="J80" s="61">
        <v>55.711250837880641</v>
      </c>
      <c r="K80" s="61">
        <v>58.453861185000861</v>
      </c>
    </row>
    <row r="81" spans="2:11" x14ac:dyDescent="0.25">
      <c r="B81" s="66" t="s">
        <v>312</v>
      </c>
      <c r="C81" s="66" t="s">
        <v>312</v>
      </c>
      <c r="D81" s="61" t="s">
        <v>274</v>
      </c>
      <c r="E81" s="61">
        <v>19.299567165601463</v>
      </c>
      <c r="F81" s="61">
        <v>2.3746941694402763</v>
      </c>
      <c r="G81" s="61">
        <v>14.892053853920572</v>
      </c>
      <c r="H81" s="61">
        <v>26.821523599059244</v>
      </c>
      <c r="I81" s="61">
        <v>17.455673782307699</v>
      </c>
      <c r="J81" s="61">
        <v>19.055296377640644</v>
      </c>
      <c r="K81" s="61">
        <v>20.915899408844449</v>
      </c>
    </row>
    <row r="82" spans="2:11" x14ac:dyDescent="0.25">
      <c r="B82" s="66" t="s">
        <v>313</v>
      </c>
      <c r="C82" s="66" t="s">
        <v>313</v>
      </c>
      <c r="D82" s="61" t="s">
        <v>275</v>
      </c>
      <c r="E82" s="61">
        <v>27.450047222920155</v>
      </c>
      <c r="F82" s="61">
        <v>0.82933257328868948</v>
      </c>
      <c r="G82" s="61">
        <v>25.28084400887116</v>
      </c>
      <c r="H82" s="61">
        <v>29.93348442701177</v>
      </c>
      <c r="I82" s="61">
        <v>26.843680844168809</v>
      </c>
      <c r="J82" s="61">
        <v>27.397107498599844</v>
      </c>
      <c r="K82" s="61">
        <v>28.017561432062024</v>
      </c>
    </row>
    <row r="83" spans="2:11" x14ac:dyDescent="0.25">
      <c r="B83" s="66" t="s">
        <v>314</v>
      </c>
      <c r="C83" s="66" t="s">
        <v>314</v>
      </c>
      <c r="D83" s="61" t="s">
        <v>276</v>
      </c>
      <c r="E83" s="61">
        <v>20.624667908655713</v>
      </c>
      <c r="F83" s="61">
        <v>0.93508125205090775</v>
      </c>
      <c r="G83" s="61">
        <v>18.398479818737719</v>
      </c>
      <c r="H83" s="61">
        <v>23.924186574413696</v>
      </c>
      <c r="I83" s="61">
        <v>19.917365268163664</v>
      </c>
      <c r="J83" s="61">
        <v>20.572000890994765</v>
      </c>
      <c r="K83" s="61">
        <v>21.263359281302904</v>
      </c>
    </row>
    <row r="84" spans="2:11" x14ac:dyDescent="0.25">
      <c r="B84" s="66" t="s">
        <v>287</v>
      </c>
      <c r="C84" s="66" t="s">
        <v>287</v>
      </c>
      <c r="D84" s="61" t="s">
        <v>240</v>
      </c>
      <c r="E84" s="61">
        <v>29.500084287193367</v>
      </c>
      <c r="F84" s="61">
        <v>1.6586659413468827</v>
      </c>
      <c r="G84" s="61">
        <v>24.721562555195536</v>
      </c>
      <c r="H84" s="61">
        <v>32.830540985787216</v>
      </c>
      <c r="I84" s="61">
        <v>28.333549750030727</v>
      </c>
      <c r="J84" s="61">
        <v>29.618001650849369</v>
      </c>
      <c r="K84" s="61">
        <v>30.778743454091821</v>
      </c>
    </row>
    <row r="85" spans="2:11" x14ac:dyDescent="0.25">
      <c r="B85" s="66" t="s">
        <v>288</v>
      </c>
      <c r="C85" s="66" t="s">
        <v>288</v>
      </c>
      <c r="D85" s="61" t="s">
        <v>241</v>
      </c>
      <c r="E85" s="61">
        <v>24.791436615178899</v>
      </c>
      <c r="F85" s="61">
        <v>2.120644484008039</v>
      </c>
      <c r="G85" s="61">
        <v>19.413485118420557</v>
      </c>
      <c r="H85" s="61">
        <v>29.595216408944541</v>
      </c>
      <c r="I85" s="61">
        <v>23.242085827355044</v>
      </c>
      <c r="J85" s="61">
        <v>24.841295688651641</v>
      </c>
      <c r="K85" s="61">
        <v>26.38756767874689</v>
      </c>
    </row>
    <row r="86" spans="2:11" ht="15.75" thickBot="1" x14ac:dyDescent="0.3">
      <c r="B86" s="67" t="s">
        <v>315</v>
      </c>
      <c r="C86" s="67" t="s">
        <v>315</v>
      </c>
      <c r="D86" s="62" t="s">
        <v>277</v>
      </c>
      <c r="E86" s="62">
        <v>55.090776162365202</v>
      </c>
      <c r="F86" s="62">
        <v>3.6703162437968451</v>
      </c>
      <c r="G86" s="62">
        <v>48.033051411835999</v>
      </c>
      <c r="H86" s="62">
        <v>67.427492327475093</v>
      </c>
      <c r="I86" s="62">
        <v>52.264570112406574</v>
      </c>
      <c r="J86" s="62">
        <v>54.650265592417561</v>
      </c>
      <c r="K86" s="62">
        <v>57.416880138368583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A1CBA-29F1-4F4F-87C9-379A52A62B28}">
  <sheetPr codeName="Sheet11"/>
  <dimension ref="A1:AM38"/>
  <sheetViews>
    <sheetView zoomScale="85" zoomScaleNormal="85" workbookViewId="0"/>
  </sheetViews>
  <sheetFormatPr defaultRowHeight="15" outlineLevelCol="1" x14ac:dyDescent="0.25"/>
  <cols>
    <col min="4" max="4" width="12.28515625" bestFit="1" customWidth="1"/>
    <col min="9" max="9" width="9.140625" style="9"/>
    <col min="10" max="10" width="9.28515625" customWidth="1"/>
    <col min="11" max="15" width="9.140625" hidden="1" customWidth="1" outlineLevel="1"/>
    <col min="16" max="16" width="8.85546875" hidden="1" customWidth="1" outlineLevel="1"/>
    <col min="17" max="17" width="14.7109375" style="4" customWidth="1" collapsed="1"/>
    <col min="18" max="18" width="15.5703125" style="4" customWidth="1"/>
    <col min="19" max="19" width="8.42578125" style="9" customWidth="1"/>
    <col min="20" max="25" width="9.140625" style="9" hidden="1" customWidth="1" outlineLevel="1"/>
    <col min="26" max="26" width="12" style="4" customWidth="1" collapsed="1"/>
    <col min="27" max="27" width="16.5703125" style="4" bestFit="1" customWidth="1"/>
    <col min="28" max="28" width="9.140625" style="9"/>
    <col min="30" max="30" width="18.7109375" style="4" customWidth="1"/>
    <col min="31" max="31" width="11.28515625" style="4" bestFit="1" customWidth="1"/>
    <col min="32" max="32" width="11.28515625" style="4" customWidth="1"/>
    <col min="33" max="33" width="8.28515625" style="4" customWidth="1"/>
    <col min="34" max="37" width="6.5703125" style="4" customWidth="1"/>
  </cols>
  <sheetData>
    <row r="1" spans="1:36" x14ac:dyDescent="0.25">
      <c r="A1" s="13"/>
      <c r="E1" s="4"/>
      <c r="F1" s="4"/>
      <c r="G1" s="4"/>
      <c r="Q1" s="9" t="s">
        <v>21</v>
      </c>
      <c r="Z1" s="9" t="s">
        <v>22</v>
      </c>
    </row>
    <row r="2" spans="1:36" x14ac:dyDescent="0.25">
      <c r="B2" t="s">
        <v>0</v>
      </c>
      <c r="C2" t="s">
        <v>2</v>
      </c>
      <c r="D2" t="s">
        <v>3</v>
      </c>
      <c r="E2" s="4" t="s">
        <v>4</v>
      </c>
      <c r="F2" s="4" t="s">
        <v>5</v>
      </c>
      <c r="G2" s="4" t="s">
        <v>6</v>
      </c>
      <c r="H2" t="s">
        <v>7</v>
      </c>
      <c r="I2" s="9" t="s">
        <v>8</v>
      </c>
      <c r="K2" t="s">
        <v>13</v>
      </c>
      <c r="L2" t="s">
        <v>14</v>
      </c>
      <c r="M2" t="s">
        <v>15</v>
      </c>
      <c r="N2" t="s">
        <v>19</v>
      </c>
      <c r="O2" t="s">
        <v>16</v>
      </c>
      <c r="P2" t="s">
        <v>17</v>
      </c>
      <c r="Q2" s="4" t="s">
        <v>18</v>
      </c>
      <c r="R2" s="4" t="s">
        <v>23</v>
      </c>
      <c r="T2" s="9" t="s">
        <v>13</v>
      </c>
      <c r="U2" s="9" t="s">
        <v>14</v>
      </c>
      <c r="V2" s="9" t="s">
        <v>15</v>
      </c>
      <c r="W2" s="9" t="s">
        <v>19</v>
      </c>
      <c r="X2" s="9" t="s">
        <v>16</v>
      </c>
      <c r="Y2" s="9" t="s">
        <v>17</v>
      </c>
      <c r="Z2" s="4" t="s">
        <v>18</v>
      </c>
      <c r="AA2" s="4" t="s">
        <v>24</v>
      </c>
      <c r="AD2" s="10" t="s">
        <v>9</v>
      </c>
      <c r="AF2" s="9" t="s">
        <v>160</v>
      </c>
      <c r="AJ2" s="5"/>
    </row>
    <row r="3" spans="1:36" x14ac:dyDescent="0.25">
      <c r="A3">
        <v>1</v>
      </c>
      <c r="B3" s="6" t="s">
        <v>143</v>
      </c>
      <c r="C3" s="2">
        <v>5</v>
      </c>
      <c r="D3" s="2">
        <v>2</v>
      </c>
      <c r="E3" s="2">
        <v>0</v>
      </c>
      <c r="F3" s="2">
        <v>0</v>
      </c>
      <c r="G3" s="2">
        <v>1</v>
      </c>
      <c r="H3" s="2">
        <v>0</v>
      </c>
      <c r="I3" s="12">
        <f t="shared" ref="I3:I12" si="0">SUM(E3:H3)</f>
        <v>1</v>
      </c>
      <c r="K3" s="14">
        <v>0.95</v>
      </c>
      <c r="L3" s="14">
        <v>1</v>
      </c>
      <c r="M3" s="14">
        <v>1.5</v>
      </c>
      <c r="N3" s="14">
        <f>(K3+4*L3+M3)/6</f>
        <v>1.075</v>
      </c>
      <c r="O3" s="14">
        <f>((N3-K3)*(2*L3-K3-M3))/((L3-N3)*(M3-K3))</f>
        <v>1.3636363636363642</v>
      </c>
      <c r="P3" s="14">
        <f>(O3*(M3-N3))/(N3-K3)</f>
        <v>4.6363636363636385</v>
      </c>
      <c r="Q3" s="5">
        <f ca="1">_xll.PsiPert(K3,L3,M3, _xll.PsiCorrMatrix($AG$26:$AK$30, 1, "CorrMartrixForCAPEXUncertaintyProj1To5"))</f>
        <v>1.1043290581681586</v>
      </c>
      <c r="R3" s="18">
        <f ca="1">Q3*C3</f>
        <v>5.5216452908407927</v>
      </c>
      <c r="T3" s="17">
        <v>0.6</v>
      </c>
      <c r="U3" s="17">
        <v>1</v>
      </c>
      <c r="V3" s="17">
        <v>1.1000000000000001</v>
      </c>
      <c r="W3" s="17">
        <f>(T3+4*U3+V3)/6</f>
        <v>0.94999999999999984</v>
      </c>
      <c r="X3" s="17">
        <f>((W3-T3)*(2*U3-T3-V3))/((U3-W3)*(V3-T3))</f>
        <v>4.1999999999999815</v>
      </c>
      <c r="Y3" s="17">
        <f>(X3*(V3-W3))/(W3-T3)</f>
        <v>1.7999999999999956</v>
      </c>
      <c r="Z3" s="5">
        <f ca="1">_xll.PsiPert(K3,L3,M3)</f>
        <v>1.0962614873407364</v>
      </c>
      <c r="AA3" s="18">
        <f ca="1">Z3*D3</f>
        <v>2.1925229746814727</v>
      </c>
      <c r="AD3" s="5">
        <f ca="1">Z3*D3*(E3*(1+1/(1+$AC$14)+1/(1+$AC$14)^2)+F3*(1/(1+$AC$14)+1/(1+$AC$14)^2)+G3*(1/(1+$AC$14)^2))</f>
        <v>1.9886829702326281</v>
      </c>
      <c r="AF3" s="4" t="str">
        <f t="shared" ref="AF3:AF12" si="1">IF(E3=1,"1",IF(F3=1,"2",IF(G3=1,"3","4")))</f>
        <v>3</v>
      </c>
      <c r="AJ3" s="5"/>
    </row>
    <row r="4" spans="1:36" x14ac:dyDescent="0.25">
      <c r="A4">
        <v>2</v>
      </c>
      <c r="B4" s="52" t="s">
        <v>144</v>
      </c>
      <c r="C4" s="2">
        <v>15</v>
      </c>
      <c r="D4" s="2">
        <v>3</v>
      </c>
      <c r="E4" s="2">
        <v>0</v>
      </c>
      <c r="F4" s="2">
        <v>0</v>
      </c>
      <c r="G4" s="2">
        <v>1</v>
      </c>
      <c r="H4" s="2">
        <v>0</v>
      </c>
      <c r="I4" s="12">
        <f t="shared" si="0"/>
        <v>1</v>
      </c>
      <c r="K4" s="14">
        <v>0.9</v>
      </c>
      <c r="L4" s="14">
        <v>1</v>
      </c>
      <c r="M4" s="14">
        <v>1.2</v>
      </c>
      <c r="N4" s="14">
        <f t="shared" ref="N4:N12" si="2">(K4+4*L4+M4)/6</f>
        <v>1.0166666666666668</v>
      </c>
      <c r="O4" s="14">
        <f t="shared" ref="O4:O12" si="3">((N4-K4)*(2*L4-K4-M4))/((L4-N4)*(M4-K4))</f>
        <v>2.3333333333333108</v>
      </c>
      <c r="P4" s="14">
        <f t="shared" ref="P4:P12" si="4">(O4*(M4-N4))/(N4-K4)</f>
        <v>3.6666666666666226</v>
      </c>
      <c r="Q4" s="5">
        <f ca="1">_xll.PsiPert(K4,L4,M4, _xll.PsiCorrMatrix($AG$26:$AK$30, 2, "CorrMartrixForCAPEXUncertaintyProj1To5"))</f>
        <v>1.0300402526538017</v>
      </c>
      <c r="R4" s="18">
        <f ca="1">Q4*C4</f>
        <v>15.450603789807026</v>
      </c>
      <c r="T4" s="17">
        <v>0.8</v>
      </c>
      <c r="U4" s="17">
        <v>1</v>
      </c>
      <c r="V4" s="17">
        <v>1.1000000000000001</v>
      </c>
      <c r="W4" s="17">
        <f t="shared" ref="W4:W12" si="5">(T4+4*U4+V4)/6</f>
        <v>0.98333333333333339</v>
      </c>
      <c r="X4" s="17">
        <f t="shared" ref="X4:X12" si="6">((W4-T4)*(2*U4-T4-V4))/((U4-W4)*(V4-T4))</f>
        <v>3.6666666666666745</v>
      </c>
      <c r="Y4" s="17">
        <f t="shared" ref="Y4:Y12" si="7">(X4*(V4-W4))/(W4-T4)</f>
        <v>2.3333333333333388</v>
      </c>
      <c r="Z4" s="5">
        <f ca="1">_xll.PsiPert(K4,L4,M4)</f>
        <v>0.91985150632224677</v>
      </c>
      <c r="AA4" s="18">
        <f t="shared" ref="AA4:AA12" ca="1" si="8">Z4*D4</f>
        <v>2.7595545189667403</v>
      </c>
      <c r="AD4" s="5">
        <f ca="1">Z4*D4*(E4*(1+1/(1+$AC$14)+1/(1+$AC$14)^2)+F4*(1/(1+$AC$14)+1/(1+$AC$14)^2)+G4*(1/(1+$AC$14)^2))</f>
        <v>2.5029972961149571</v>
      </c>
      <c r="AF4" s="4" t="str">
        <f t="shared" si="1"/>
        <v>3</v>
      </c>
      <c r="AJ4" s="5"/>
    </row>
    <row r="5" spans="1:36" x14ac:dyDescent="0.25">
      <c r="A5">
        <v>3</v>
      </c>
      <c r="B5" s="6" t="s">
        <v>145</v>
      </c>
      <c r="C5" s="2">
        <v>10</v>
      </c>
      <c r="D5" s="2">
        <v>5</v>
      </c>
      <c r="E5" s="2">
        <v>0</v>
      </c>
      <c r="F5" s="2">
        <v>1</v>
      </c>
      <c r="G5" s="2">
        <v>0</v>
      </c>
      <c r="H5" s="2">
        <v>0</v>
      </c>
      <c r="I5" s="12">
        <f t="shared" si="0"/>
        <v>1</v>
      </c>
      <c r="K5" s="14">
        <v>0.9</v>
      </c>
      <c r="L5" s="14">
        <v>1</v>
      </c>
      <c r="M5" s="14">
        <v>1.2</v>
      </c>
      <c r="N5" s="14">
        <f t="shared" si="2"/>
        <v>1.0166666666666668</v>
      </c>
      <c r="O5" s="14">
        <f t="shared" si="3"/>
        <v>2.3333333333333108</v>
      </c>
      <c r="P5" s="14">
        <f t="shared" si="4"/>
        <v>3.6666666666666226</v>
      </c>
      <c r="Q5" s="5">
        <f ca="1">_xll.PsiPert(K5,L5,M5, _xll.PsiCorrMatrix($AG$26:$AK$30, 3, "CorrMartrixForCAPEXUncertaintyProj1To5"))</f>
        <v>0.97927240239803504</v>
      </c>
      <c r="R5" s="18">
        <f t="shared" ref="R5:R12" ca="1" si="9">Q5*C5</f>
        <v>9.7927240239803499</v>
      </c>
      <c r="T5" s="17">
        <v>0.8</v>
      </c>
      <c r="U5" s="17">
        <v>1</v>
      </c>
      <c r="V5" s="17">
        <v>1.1000000000000001</v>
      </c>
      <c r="W5" s="17">
        <f>(T5+4*U5+V5)/6</f>
        <v>0.98333333333333339</v>
      </c>
      <c r="X5" s="17">
        <f>((W5-T5)*(2*U5-T5-V5))/((U5-W5)*(V5-T5))</f>
        <v>3.6666666666666745</v>
      </c>
      <c r="Y5" s="17">
        <f>(X5*(V5-W5))/(W5-T5)</f>
        <v>2.3333333333333388</v>
      </c>
      <c r="Z5" s="5">
        <f ca="1">_xll.PsiPert(K5,L5,M5)</f>
        <v>1.0427244122971739</v>
      </c>
      <c r="AA5" s="18">
        <f ca="1">Z5*D5</f>
        <v>5.2136220614858697</v>
      </c>
      <c r="AD5" s="5">
        <f ca="1">Z5*D5*(E5*(1+1/(1+$AC$14)+1/(1+$AC$14)^2)+F5*(1/(1+$AC$14)+1/(1+$AC$14)^2)+G5*(1/(1+$AC$14)^2))</f>
        <v>9.6942632435791687</v>
      </c>
      <c r="AF5" s="4" t="str">
        <f t="shared" si="1"/>
        <v>2</v>
      </c>
      <c r="AJ5" s="5"/>
    </row>
    <row r="6" spans="1:36" x14ac:dyDescent="0.25">
      <c r="A6">
        <v>4</v>
      </c>
      <c r="B6" s="50" t="s">
        <v>146</v>
      </c>
      <c r="C6" s="2">
        <v>5</v>
      </c>
      <c r="D6" s="2">
        <v>2</v>
      </c>
      <c r="E6" s="2">
        <v>0</v>
      </c>
      <c r="F6" s="2">
        <v>1</v>
      </c>
      <c r="G6" s="2">
        <v>0</v>
      </c>
      <c r="H6" s="2">
        <v>0</v>
      </c>
      <c r="I6" s="12">
        <f t="shared" si="0"/>
        <v>1</v>
      </c>
      <c r="K6" s="14">
        <v>0.9</v>
      </c>
      <c r="L6" s="14">
        <v>1</v>
      </c>
      <c r="M6" s="14">
        <v>1.2</v>
      </c>
      <c r="N6" s="14">
        <f t="shared" si="2"/>
        <v>1.0166666666666668</v>
      </c>
      <c r="O6" s="14">
        <f t="shared" si="3"/>
        <v>2.3333333333333108</v>
      </c>
      <c r="P6" s="14">
        <f t="shared" si="4"/>
        <v>3.6666666666666226</v>
      </c>
      <c r="Q6" s="5">
        <f ca="1">_xll.PsiPert(K6,L6,M6, _xll.PsiCorrMatrix($AG$26:$AK$30, 4, "CorrMartrixForCAPEXUncertaintyProj1To5"))</f>
        <v>1.0547235977591469</v>
      </c>
      <c r="R6" s="18">
        <f t="shared" ca="1" si="9"/>
        <v>5.2736179887957348</v>
      </c>
      <c r="T6" s="17">
        <v>0.8</v>
      </c>
      <c r="U6" s="17">
        <v>1</v>
      </c>
      <c r="V6" s="17">
        <v>1.1000000000000001</v>
      </c>
      <c r="W6" s="17">
        <f>(T6+4*U6+V6)/6</f>
        <v>0.98333333333333339</v>
      </c>
      <c r="X6" s="17">
        <f>((W6-T6)*(2*U6-T6-V6))/((U6-W6)*(V6-T6))</f>
        <v>3.6666666666666745</v>
      </c>
      <c r="Y6" s="17">
        <f>(X6*(V6-W6))/(W6-T6)</f>
        <v>2.3333333333333388</v>
      </c>
      <c r="Z6" s="5">
        <f ca="1">_xll.PsiPert(K6,L6,M6)</f>
        <v>0.95420117601940957</v>
      </c>
      <c r="AA6" s="18">
        <f ca="1">Z6*D6</f>
        <v>1.9084023520388191</v>
      </c>
      <c r="AD6" s="5">
        <f ca="1">Z6*D6*(E6*(1+1/(1+$AC$14)+1/(1+$AC$14)^2)+F6*(1/(1+$AC$14)+1/(1+$AC$14)^2)+G6*(1/(1+$AC$14)^2))</f>
        <v>3.548503239618666</v>
      </c>
      <c r="AF6" s="4" t="str">
        <f t="shared" si="1"/>
        <v>2</v>
      </c>
      <c r="AJ6" s="5"/>
    </row>
    <row r="7" spans="1:36" x14ac:dyDescent="0.25">
      <c r="A7">
        <v>5</v>
      </c>
      <c r="B7" s="51" t="s">
        <v>147</v>
      </c>
      <c r="C7" s="2">
        <v>10</v>
      </c>
      <c r="D7" s="2">
        <v>4</v>
      </c>
      <c r="E7" s="2">
        <v>0</v>
      </c>
      <c r="F7" s="2">
        <v>1</v>
      </c>
      <c r="G7" s="2">
        <v>0</v>
      </c>
      <c r="H7" s="2">
        <v>0</v>
      </c>
      <c r="I7" s="12">
        <f t="shared" si="0"/>
        <v>1</v>
      </c>
      <c r="K7" s="14">
        <v>0.9</v>
      </c>
      <c r="L7" s="14">
        <v>1</v>
      </c>
      <c r="M7" s="14">
        <v>1.2</v>
      </c>
      <c r="N7" s="14">
        <f t="shared" si="2"/>
        <v>1.0166666666666668</v>
      </c>
      <c r="O7" s="14">
        <f t="shared" si="3"/>
        <v>2.3333333333333108</v>
      </c>
      <c r="P7" s="14">
        <f t="shared" si="4"/>
        <v>3.6666666666666226</v>
      </c>
      <c r="Q7" s="5">
        <f ca="1">_xll.PsiPert(K7,L7,M7, _xll.PsiCorrMatrix($AG$26:$AK$30, 5, "CorrMartrixForCAPEXUncertaintyProj1To5"))</f>
        <v>0.94264302045909087</v>
      </c>
      <c r="R7" s="18">
        <f t="shared" ca="1" si="9"/>
        <v>9.4264302045909094</v>
      </c>
      <c r="T7" s="17">
        <v>0.8</v>
      </c>
      <c r="U7" s="17">
        <v>1</v>
      </c>
      <c r="V7" s="17">
        <v>1.1000000000000001</v>
      </c>
      <c r="W7" s="17">
        <f>(T7+4*U7+V7)/6</f>
        <v>0.98333333333333339</v>
      </c>
      <c r="X7" s="17">
        <f>((W7-T7)*(2*U7-T7-V7))/((U7-W7)*(V7-T7))</f>
        <v>3.6666666666666745</v>
      </c>
      <c r="Y7" s="17">
        <f>(X7*(V7-W7))/(W7-T7)</f>
        <v>2.3333333333333388</v>
      </c>
      <c r="Z7" s="5">
        <f ca="1">_xll.PsiPert(K7,L7,M7, _xll.PsiCorrMatrix($AG$33:$AH$34, 1, "CorrMatrixBenefitPerYrProj5and6"))</f>
        <v>1.041777482470452</v>
      </c>
      <c r="AA7" s="18">
        <f ca="1">Z7*D7</f>
        <v>4.167109929881808</v>
      </c>
      <c r="AD7" s="5">
        <f ca="1">Z7*D7*(E7*(1+1/(1+$AC$14)+1/(1+$AC$14)^2)+F7*(1/(1+$AC$14)+1/(1+$AC$14)^2)+G7*(1/(1+$AC$14)^2))</f>
        <v>7.7483676700750168</v>
      </c>
      <c r="AF7" s="4" t="str">
        <f t="shared" si="1"/>
        <v>2</v>
      </c>
      <c r="AJ7" s="5"/>
    </row>
    <row r="8" spans="1:36" x14ac:dyDescent="0.25">
      <c r="A8">
        <v>6</v>
      </c>
      <c r="B8" s="6" t="s">
        <v>148</v>
      </c>
      <c r="C8" s="3">
        <v>15</v>
      </c>
      <c r="D8" s="3">
        <v>8</v>
      </c>
      <c r="E8" s="2">
        <v>1</v>
      </c>
      <c r="F8" s="2">
        <v>0</v>
      </c>
      <c r="G8" s="2">
        <v>0</v>
      </c>
      <c r="H8" s="2">
        <v>0</v>
      </c>
      <c r="I8" s="12">
        <f t="shared" si="0"/>
        <v>1</v>
      </c>
      <c r="K8" s="14">
        <v>0.8</v>
      </c>
      <c r="L8" s="14">
        <v>1</v>
      </c>
      <c r="M8" s="14">
        <v>1.7</v>
      </c>
      <c r="N8" s="14">
        <f t="shared" si="2"/>
        <v>1.0833333333333333</v>
      </c>
      <c r="O8" s="14">
        <f t="shared" si="3"/>
        <v>1.8888888888888899</v>
      </c>
      <c r="P8" s="14">
        <f t="shared" si="4"/>
        <v>4.111111111111116</v>
      </c>
      <c r="Q8" s="5">
        <f ca="1">_xll.PsiPert(K8,L8,M8)</f>
        <v>1.4037753234200063</v>
      </c>
      <c r="R8" s="18">
        <f t="shared" ca="1" si="9"/>
        <v>21.056629851300094</v>
      </c>
      <c r="T8" s="17">
        <v>0.8</v>
      </c>
      <c r="U8" s="17">
        <v>1</v>
      </c>
      <c r="V8" s="17">
        <v>1.1000000000000001</v>
      </c>
      <c r="W8" s="17">
        <f>(T8+4*U8+V8)/6</f>
        <v>0.98333333333333339</v>
      </c>
      <c r="X8" s="17">
        <f>((W8-T8)*(2*U8-T8-V8))/((U8-W8)*(V8-T8))</f>
        <v>3.6666666666666745</v>
      </c>
      <c r="Y8" s="17">
        <f>(X8*(V8-W8))/(W8-T8)</f>
        <v>2.3333333333333388</v>
      </c>
      <c r="Z8" s="5">
        <f ca="1">_xll.PsiPert(K8,L8,M8, _xll.PsiCorrMatrix($AG$33:$AH$34, 2, "CorrMatrixBenefitPerYrProj5and6"))</f>
        <v>0.82029363635670149</v>
      </c>
      <c r="AA8" s="18">
        <f ca="1">Z8*D8</f>
        <v>6.562349090853612</v>
      </c>
      <c r="AD8" s="5">
        <f t="shared" ref="AD8:AD12" ca="1" si="10">Z8*D8*(E8*(1+1/(1+$AC$14)+1/(1+$AC$14)^2)+F8*(1/(1+$AC$14)+1/(1+$AC$14)^2)+G8*(1/(1+$AC$14)^2))</f>
        <v>18.764449441193662</v>
      </c>
      <c r="AF8" s="4" t="str">
        <f t="shared" si="1"/>
        <v>1</v>
      </c>
      <c r="AJ8" s="5"/>
    </row>
    <row r="9" spans="1:36" x14ac:dyDescent="0.25">
      <c r="A9">
        <v>7</v>
      </c>
      <c r="B9" s="52" t="s">
        <v>149</v>
      </c>
      <c r="C9" s="3">
        <v>10</v>
      </c>
      <c r="D9" s="3">
        <v>2</v>
      </c>
      <c r="E9" s="2">
        <v>0</v>
      </c>
      <c r="F9" s="2">
        <v>0</v>
      </c>
      <c r="G9" s="2">
        <v>0</v>
      </c>
      <c r="H9" s="2">
        <v>1</v>
      </c>
      <c r="I9" s="12">
        <f t="shared" si="0"/>
        <v>1</v>
      </c>
      <c r="K9" s="14">
        <v>0.9</v>
      </c>
      <c r="L9" s="14">
        <v>1</v>
      </c>
      <c r="M9" s="14">
        <v>1.2</v>
      </c>
      <c r="N9" s="14">
        <f t="shared" si="2"/>
        <v>1.0166666666666668</v>
      </c>
      <c r="O9" s="14">
        <f t="shared" si="3"/>
        <v>2.3333333333333108</v>
      </c>
      <c r="P9" s="14">
        <f t="shared" si="4"/>
        <v>3.6666666666666226</v>
      </c>
      <c r="Q9" s="5">
        <f ca="1">_xll.PsiPert(K9,L9,M9)</f>
        <v>0.94836092481967971</v>
      </c>
      <c r="R9" s="18">
        <f t="shared" ca="1" si="9"/>
        <v>9.4836092481967977</v>
      </c>
      <c r="T9" s="17">
        <v>0.85</v>
      </c>
      <c r="U9" s="17">
        <v>1</v>
      </c>
      <c r="V9" s="17">
        <v>1.1000000000000001</v>
      </c>
      <c r="W9" s="17">
        <f t="shared" si="5"/>
        <v>0.99166666666666659</v>
      </c>
      <c r="X9" s="17">
        <f t="shared" si="6"/>
        <v>3.3999999999999519</v>
      </c>
      <c r="Y9" s="17">
        <f t="shared" si="7"/>
        <v>2.5999999999999681</v>
      </c>
      <c r="Z9" s="5">
        <f ca="1">_xll.PsiPert(K9,L9,M9)</f>
        <v>0.97370106409013879</v>
      </c>
      <c r="AA9" s="18">
        <f t="shared" ca="1" si="8"/>
        <v>1.9474021281802776</v>
      </c>
      <c r="AD9" s="5">
        <f t="shared" ca="1" si="10"/>
        <v>0</v>
      </c>
      <c r="AF9" s="4" t="str">
        <f t="shared" si="1"/>
        <v>4</v>
      </c>
      <c r="AJ9" s="5"/>
    </row>
    <row r="10" spans="1:36" x14ac:dyDescent="0.25">
      <c r="A10">
        <v>8</v>
      </c>
      <c r="B10" s="50" t="s">
        <v>150</v>
      </c>
      <c r="C10" s="3">
        <v>2</v>
      </c>
      <c r="D10" s="3">
        <v>1</v>
      </c>
      <c r="E10" s="2">
        <v>0</v>
      </c>
      <c r="F10" s="2">
        <v>1</v>
      </c>
      <c r="G10" s="2">
        <v>0</v>
      </c>
      <c r="H10" s="2">
        <v>0</v>
      </c>
      <c r="I10" s="12">
        <f t="shared" si="0"/>
        <v>1</v>
      </c>
      <c r="K10" s="14">
        <v>0.9</v>
      </c>
      <c r="L10" s="14">
        <v>1</v>
      </c>
      <c r="M10" s="14">
        <v>1.2</v>
      </c>
      <c r="N10" s="14">
        <f t="shared" si="2"/>
        <v>1.0166666666666668</v>
      </c>
      <c r="O10" s="14">
        <f t="shared" si="3"/>
        <v>2.3333333333333108</v>
      </c>
      <c r="P10" s="14">
        <f t="shared" si="4"/>
        <v>3.6666666666666226</v>
      </c>
      <c r="Q10" s="5">
        <f ca="1">_xll.PsiPert(K10,L10,M10)</f>
        <v>0.98581343711985903</v>
      </c>
      <c r="R10" s="18">
        <f t="shared" ca="1" si="9"/>
        <v>1.9716268742397181</v>
      </c>
      <c r="T10" s="17">
        <v>0.85</v>
      </c>
      <c r="U10" s="17">
        <v>1</v>
      </c>
      <c r="V10" s="17">
        <v>1.1000000000000001</v>
      </c>
      <c r="W10" s="17">
        <f t="shared" si="5"/>
        <v>0.99166666666666659</v>
      </c>
      <c r="X10" s="17">
        <f t="shared" si="6"/>
        <v>3.3999999999999519</v>
      </c>
      <c r="Y10" s="17">
        <f t="shared" si="7"/>
        <v>2.5999999999999681</v>
      </c>
      <c r="Z10" s="5">
        <f ca="1">_xll.PsiPert(K10,L10,M10)</f>
        <v>1.0415154737561199</v>
      </c>
      <c r="AA10" s="18">
        <f t="shared" ca="1" si="8"/>
        <v>1.0415154737561199</v>
      </c>
      <c r="AD10" s="5">
        <f t="shared" ca="1" si="10"/>
        <v>1.9366047357823544</v>
      </c>
      <c r="AF10" s="4" t="str">
        <f t="shared" si="1"/>
        <v>2</v>
      </c>
      <c r="AJ10" s="5"/>
    </row>
    <row r="11" spans="1:36" x14ac:dyDescent="0.25">
      <c r="A11">
        <v>9</v>
      </c>
      <c r="B11" s="6" t="s">
        <v>154</v>
      </c>
      <c r="C11" s="3">
        <v>3</v>
      </c>
      <c r="D11" s="3">
        <v>1</v>
      </c>
      <c r="E11" s="2">
        <v>1</v>
      </c>
      <c r="F11" s="2">
        <v>0</v>
      </c>
      <c r="G11" s="2">
        <v>0</v>
      </c>
      <c r="H11" s="2">
        <v>0</v>
      </c>
      <c r="I11" s="12">
        <f t="shared" si="0"/>
        <v>1</v>
      </c>
      <c r="K11" s="14">
        <v>0.9</v>
      </c>
      <c r="L11" s="14">
        <v>1</v>
      </c>
      <c r="M11" s="14">
        <v>1.2</v>
      </c>
      <c r="N11" s="14">
        <f t="shared" si="2"/>
        <v>1.0166666666666668</v>
      </c>
      <c r="O11" s="14">
        <f t="shared" si="3"/>
        <v>2.3333333333333108</v>
      </c>
      <c r="P11" s="14">
        <f t="shared" si="4"/>
        <v>3.6666666666666226</v>
      </c>
      <c r="Q11" s="5">
        <f ca="1">_xll.PsiPert(K11,L11,M11)</f>
        <v>1.0518179194088713</v>
      </c>
      <c r="R11" s="18">
        <f t="shared" ca="1" si="9"/>
        <v>3.1554537582266136</v>
      </c>
      <c r="T11" s="17">
        <v>0.95</v>
      </c>
      <c r="U11" s="17">
        <v>1</v>
      </c>
      <c r="V11" s="17">
        <v>1.1000000000000001</v>
      </c>
      <c r="W11" s="17">
        <f t="shared" si="5"/>
        <v>1.0083333333333335</v>
      </c>
      <c r="X11" s="17">
        <f t="shared" si="6"/>
        <v>2.3333333333332891</v>
      </c>
      <c r="Y11" s="17">
        <f t="shared" si="7"/>
        <v>3.6666666666665777</v>
      </c>
      <c r="Z11" s="5">
        <f ca="1">_xll.PsiPert(K11,L11,M11)</f>
        <v>1.0005424522757305</v>
      </c>
      <c r="AA11" s="18">
        <f t="shared" ca="1" si="8"/>
        <v>1.0005424522757305</v>
      </c>
      <c r="AD11" s="5">
        <f t="shared" ca="1" si="10"/>
        <v>2.8609615245344582</v>
      </c>
      <c r="AF11" s="4" t="str">
        <f t="shared" si="1"/>
        <v>1</v>
      </c>
      <c r="AJ11" s="5"/>
    </row>
    <row r="12" spans="1:36" x14ac:dyDescent="0.25">
      <c r="A12">
        <v>10</v>
      </c>
      <c r="B12" s="51" t="s">
        <v>153</v>
      </c>
      <c r="C12" s="3">
        <v>7</v>
      </c>
      <c r="D12" s="3">
        <v>2</v>
      </c>
      <c r="E12" s="2">
        <v>0</v>
      </c>
      <c r="F12" s="2">
        <v>0</v>
      </c>
      <c r="G12" s="2">
        <v>0</v>
      </c>
      <c r="H12" s="2">
        <v>1</v>
      </c>
      <c r="I12" s="12">
        <f t="shared" si="0"/>
        <v>1</v>
      </c>
      <c r="K12" s="14">
        <v>0.9</v>
      </c>
      <c r="L12" s="14">
        <v>1</v>
      </c>
      <c r="M12" s="14">
        <v>1.2</v>
      </c>
      <c r="N12" s="14">
        <f t="shared" si="2"/>
        <v>1.0166666666666668</v>
      </c>
      <c r="O12" s="14">
        <f t="shared" si="3"/>
        <v>2.3333333333333108</v>
      </c>
      <c r="P12" s="14">
        <f t="shared" si="4"/>
        <v>3.6666666666666226</v>
      </c>
      <c r="Q12" s="5">
        <f ca="1">_xll.PsiPert(K12,L12,M12)</f>
        <v>0.9658833122256546</v>
      </c>
      <c r="R12" s="18">
        <f t="shared" ca="1" si="9"/>
        <v>6.7611831855795819</v>
      </c>
      <c r="T12" s="17">
        <v>0.95</v>
      </c>
      <c r="U12" s="17">
        <v>1</v>
      </c>
      <c r="V12" s="17">
        <v>1.1000000000000001</v>
      </c>
      <c r="W12" s="17">
        <f t="shared" si="5"/>
        <v>1.0083333333333335</v>
      </c>
      <c r="X12" s="17">
        <f t="shared" si="6"/>
        <v>2.3333333333332891</v>
      </c>
      <c r="Y12" s="17">
        <f t="shared" si="7"/>
        <v>3.6666666666665777</v>
      </c>
      <c r="Z12" s="5">
        <f ca="1">_xll.PsiPert(K12,L12,M12)</f>
        <v>0.94957965749435025</v>
      </c>
      <c r="AA12" s="18">
        <f t="shared" ca="1" si="8"/>
        <v>1.8991593149887005</v>
      </c>
      <c r="AD12" s="5">
        <f t="shared" ca="1" si="10"/>
        <v>0</v>
      </c>
      <c r="AF12" s="4" t="str">
        <f t="shared" si="1"/>
        <v>4</v>
      </c>
      <c r="AJ12" s="5"/>
    </row>
    <row r="13" spans="1:36" ht="15.75" thickBot="1" x14ac:dyDescent="0.3">
      <c r="E13" s="48"/>
      <c r="F13" s="48"/>
      <c r="G13" s="48"/>
      <c r="R13" s="18"/>
      <c r="AJ13" s="5"/>
    </row>
    <row r="14" spans="1:36" ht="16.5" thickBot="1" x14ac:dyDescent="0.3">
      <c r="B14" s="16"/>
      <c r="C14" s="15"/>
      <c r="D14" t="s">
        <v>177</v>
      </c>
      <c r="E14" s="18">
        <f ca="1">SUMPRODUCT($C$3:$C$12,Q3:Q12,E3:E12) + _xll.PsiOutput()</f>
        <v>24.212083609526708</v>
      </c>
      <c r="F14" s="18">
        <f ca="1">SUMPRODUCT($C$3:$C$12,Q3:Q12,F3:F12) + _xll.PsiOutput()</f>
        <v>26.464399091606712</v>
      </c>
      <c r="G14" s="18">
        <f ca="1">SUMPRODUCT($C$3:$C$12,Q3:Q12,G3:G12) + _xll.PsiOutput()</f>
        <v>20.972249080647821</v>
      </c>
      <c r="H14" s="15">
        <f ca="1">SUMPRODUCT($C$3:$C$12,Q3:Q12,H3:H12)</f>
        <v>16.244792433776379</v>
      </c>
      <c r="R14" s="18"/>
      <c r="AA14" s="57"/>
      <c r="AB14" s="58" t="s">
        <v>10</v>
      </c>
      <c r="AC14" s="59">
        <v>0.05</v>
      </c>
      <c r="AD14" s="7">
        <f ca="1">SUM(AD3:AD12) + _xll.PsiOutput()</f>
        <v>49.044830121130914</v>
      </c>
    </row>
    <row r="15" spans="1:36" x14ac:dyDescent="0.25">
      <c r="E15" s="4"/>
      <c r="F15" s="4"/>
      <c r="G15" s="4"/>
    </row>
    <row r="16" spans="1:36" x14ac:dyDescent="0.25">
      <c r="D16" s="16" t="s">
        <v>178</v>
      </c>
      <c r="E16" s="18" t="e">
        <f ca="1">_xll.PsiMean(E14)</f>
        <v>#N/A</v>
      </c>
      <c r="F16" s="18" t="e">
        <f ca="1">_xll.PsiMean(F14)</f>
        <v>#N/A</v>
      </c>
      <c r="G16" s="18" t="e">
        <f ca="1">_xll.PsiMean(G14)</f>
        <v>#N/A</v>
      </c>
      <c r="AC16" s="16" t="s">
        <v>155</v>
      </c>
      <c r="AD16" s="5">
        <f ca="1">AD14</f>
        <v>49.044830121130914</v>
      </c>
      <c r="AF16" s="4" t="str">
        <f>AF3&amp;AF4&amp;AF5&amp;AF6&amp;AF7&amp;AF8&amp;AF9&amp;AF10&amp;AF11&amp;AF12</f>
        <v>3322214214</v>
      </c>
    </row>
    <row r="17" spans="1:39" x14ac:dyDescent="0.25">
      <c r="E17" s="18"/>
      <c r="F17" s="18"/>
      <c r="G17" s="18"/>
      <c r="AC17" s="16"/>
      <c r="AD17" s="5"/>
    </row>
    <row r="18" spans="1:39" s="4" customFormat="1" x14ac:dyDescent="0.25">
      <c r="A18"/>
      <c r="B18"/>
      <c r="C18"/>
      <c r="D18" s="16" t="s">
        <v>169</v>
      </c>
      <c r="E18" s="18">
        <v>20</v>
      </c>
      <c r="F18" s="18">
        <f ca="1">_xll.PsiPert(E28,F28,G28, _xll.PsiCorrMatrix($AG$37:$AH$38, 1, "CorrMatrixForCAPEXThresholdYr2and3"))*30 + _xll.PsiOutput()</f>
        <v>29.139302957025116</v>
      </c>
      <c r="G18" s="18">
        <f ca="1">_xll.PsiPert(E29,F29,G29, _xll.PsiCorrMatrix($AG$37:$AH$38, 2, "CorrMatrixForCAPEXThresholdYr2and3"))*25 + _xll.PsiOutput()</f>
        <v>22.785743701630039</v>
      </c>
      <c r="H18"/>
      <c r="I18" s="9"/>
      <c r="J18"/>
      <c r="K18"/>
      <c r="L18"/>
      <c r="M18"/>
      <c r="N18"/>
      <c r="O18"/>
      <c r="P18"/>
      <c r="S18" s="9"/>
      <c r="T18" s="9"/>
      <c r="U18" s="9"/>
      <c r="V18" s="9"/>
      <c r="W18" s="9"/>
      <c r="X18" s="9"/>
      <c r="Y18" s="9"/>
      <c r="AB18" s="9"/>
      <c r="AC18"/>
      <c r="AF18" s="4" t="s">
        <v>183</v>
      </c>
      <c r="AL18"/>
      <c r="AM18"/>
    </row>
    <row r="19" spans="1:39" s="4" customFormat="1" x14ac:dyDescent="0.25">
      <c r="A19"/>
      <c r="B19"/>
      <c r="C19"/>
      <c r="D19"/>
      <c r="H19"/>
      <c r="I19" s="9"/>
      <c r="J19"/>
      <c r="K19"/>
      <c r="L19"/>
      <c r="M19"/>
      <c r="N19"/>
      <c r="O19"/>
      <c r="P19"/>
      <c r="S19" s="9"/>
      <c r="T19" s="9"/>
      <c r="U19" s="9"/>
      <c r="V19" s="9"/>
      <c r="W19" s="9"/>
      <c r="X19" s="9"/>
      <c r="Y19" s="9"/>
      <c r="AB19" s="9"/>
      <c r="AC19"/>
      <c r="AL19"/>
      <c r="AM19"/>
    </row>
    <row r="20" spans="1:39" x14ac:dyDescent="0.25">
      <c r="D20" s="16" t="s">
        <v>179</v>
      </c>
      <c r="E20" s="4">
        <v>20</v>
      </c>
      <c r="F20" s="18" t="e">
        <f ca="1">_xll.PsiMean(F18)</f>
        <v>#N/A</v>
      </c>
      <c r="G20" s="18" t="e">
        <f ca="1">_xll.PsiMean(G18)</f>
        <v>#N/A</v>
      </c>
    </row>
    <row r="22" spans="1:39" ht="9" customHeight="1" x14ac:dyDescent="0.25">
      <c r="F22" s="4"/>
      <c r="G22" s="4"/>
    </row>
    <row r="23" spans="1:39" x14ac:dyDescent="0.25">
      <c r="B23" s="46" t="s">
        <v>156</v>
      </c>
    </row>
    <row r="24" spans="1:39" x14ac:dyDescent="0.25">
      <c r="B24" t="s">
        <v>158</v>
      </c>
    </row>
    <row r="25" spans="1:39" x14ac:dyDescent="0.25">
      <c r="B25" s="53" t="s">
        <v>159</v>
      </c>
      <c r="AF25" s="4" t="s">
        <v>161</v>
      </c>
      <c r="AG25" s="4" t="s">
        <v>166</v>
      </c>
      <c r="AH25" s="4" t="s">
        <v>165</v>
      </c>
      <c r="AI25" s="4" t="s">
        <v>164</v>
      </c>
      <c r="AJ25" s="4" t="s">
        <v>163</v>
      </c>
      <c r="AK25" s="4" t="s">
        <v>162</v>
      </c>
    </row>
    <row r="26" spans="1:39" x14ac:dyDescent="0.25">
      <c r="B26" s="53" t="s">
        <v>176</v>
      </c>
      <c r="AF26" s="4" t="s">
        <v>166</v>
      </c>
      <c r="AG26" s="4">
        <v>1</v>
      </c>
      <c r="AH26" s="4">
        <v>0.9</v>
      </c>
      <c r="AI26" s="4">
        <v>0.9</v>
      </c>
      <c r="AJ26" s="4">
        <v>0.9</v>
      </c>
      <c r="AK26" s="4">
        <v>0.9</v>
      </c>
    </row>
    <row r="27" spans="1:39" x14ac:dyDescent="0.25">
      <c r="B27" s="53" t="s">
        <v>182</v>
      </c>
      <c r="AF27" s="4" t="s">
        <v>165</v>
      </c>
      <c r="AG27" s="4">
        <f>$AH$26</f>
        <v>0.9</v>
      </c>
      <c r="AH27" s="4">
        <v>1</v>
      </c>
      <c r="AI27" s="4">
        <v>0.9</v>
      </c>
      <c r="AJ27" s="4">
        <v>0.9</v>
      </c>
      <c r="AK27" s="4">
        <v>0.9</v>
      </c>
    </row>
    <row r="28" spans="1:39" x14ac:dyDescent="0.25">
      <c r="D28" s="16" t="s">
        <v>180</v>
      </c>
      <c r="E28">
        <v>0.8</v>
      </c>
      <c r="F28">
        <v>1</v>
      </c>
      <c r="G28">
        <v>1.1000000000000001</v>
      </c>
      <c r="AF28" s="4" t="s">
        <v>164</v>
      </c>
      <c r="AG28" s="4">
        <f>$AI$26</f>
        <v>0.9</v>
      </c>
      <c r="AH28" s="4">
        <f>$AI$27</f>
        <v>0.9</v>
      </c>
      <c r="AI28" s="4">
        <v>1</v>
      </c>
      <c r="AJ28" s="4">
        <v>0.9</v>
      </c>
      <c r="AK28" s="4">
        <v>0.9</v>
      </c>
    </row>
    <row r="29" spans="1:39" x14ac:dyDescent="0.25">
      <c r="D29" s="16" t="s">
        <v>181</v>
      </c>
      <c r="E29">
        <v>0.75</v>
      </c>
      <c r="F29">
        <v>1</v>
      </c>
      <c r="G29">
        <v>1.2</v>
      </c>
      <c r="AF29" s="4" t="s">
        <v>163</v>
      </c>
      <c r="AG29" s="4">
        <f>$AJ$26</f>
        <v>0.9</v>
      </c>
      <c r="AH29" s="4">
        <f>$AJ$27</f>
        <v>0.9</v>
      </c>
      <c r="AI29" s="4">
        <f>$AJ$28</f>
        <v>0.9</v>
      </c>
      <c r="AJ29" s="4">
        <v>1</v>
      </c>
      <c r="AK29" s="4">
        <v>0.9</v>
      </c>
    </row>
    <row r="30" spans="1:39" x14ac:dyDescent="0.25">
      <c r="B30" s="54" t="s">
        <v>171</v>
      </c>
      <c r="AF30" s="4" t="s">
        <v>162</v>
      </c>
      <c r="AG30" s="4">
        <f>$AK$26</f>
        <v>0.9</v>
      </c>
      <c r="AH30" s="4">
        <f>$AK$27</f>
        <v>0.9</v>
      </c>
      <c r="AI30" s="4">
        <f>$AK$28</f>
        <v>0.9</v>
      </c>
      <c r="AJ30" s="4">
        <f>$AK$29</f>
        <v>0.9</v>
      </c>
      <c r="AK30" s="4">
        <v>1</v>
      </c>
    </row>
    <row r="31" spans="1:39" x14ac:dyDescent="0.25">
      <c r="B31" s="55" t="s">
        <v>172</v>
      </c>
    </row>
    <row r="32" spans="1:39" x14ac:dyDescent="0.25">
      <c r="B32" s="53"/>
      <c r="E32" s="4">
        <f>E7+E12</f>
        <v>0</v>
      </c>
      <c r="F32" s="4">
        <f>F7+F12</f>
        <v>1</v>
      </c>
      <c r="G32" s="4">
        <f>G7+G12</f>
        <v>0</v>
      </c>
      <c r="AF32" s="4" t="s">
        <v>161</v>
      </c>
      <c r="AG32" s="4" t="s">
        <v>168</v>
      </c>
      <c r="AH32" s="4" t="s">
        <v>167</v>
      </c>
    </row>
    <row r="33" spans="2:34" x14ac:dyDescent="0.25">
      <c r="B33" s="56" t="s">
        <v>170</v>
      </c>
      <c r="AF33" s="4" t="s">
        <v>168</v>
      </c>
      <c r="AG33" s="4">
        <v>1</v>
      </c>
      <c r="AH33" s="4">
        <v>-0.9</v>
      </c>
    </row>
    <row r="34" spans="2:34" x14ac:dyDescent="0.25">
      <c r="F34">
        <f>F4+E4</f>
        <v>0</v>
      </c>
      <c r="AF34" s="4" t="s">
        <v>167</v>
      </c>
      <c r="AG34" s="4">
        <f>$AH$33</f>
        <v>-0.9</v>
      </c>
      <c r="AH34" s="4">
        <v>1</v>
      </c>
    </row>
    <row r="36" spans="2:34" x14ac:dyDescent="0.25">
      <c r="AF36" s="4" t="s">
        <v>161</v>
      </c>
      <c r="AG36" s="4" t="s">
        <v>175</v>
      </c>
      <c r="AH36" s="4" t="s">
        <v>174</v>
      </c>
    </row>
    <row r="37" spans="2:34" x14ac:dyDescent="0.25">
      <c r="AF37" s="4" t="s">
        <v>175</v>
      </c>
      <c r="AG37" s="4">
        <v>1</v>
      </c>
      <c r="AH37" s="4">
        <v>0.8</v>
      </c>
    </row>
    <row r="38" spans="2:34" x14ac:dyDescent="0.25">
      <c r="AF38" s="4" t="s">
        <v>174</v>
      </c>
      <c r="AG38" s="4">
        <f>$AH$37</f>
        <v>0.8</v>
      </c>
      <c r="AH38" s="4">
        <v>1</v>
      </c>
    </row>
  </sheetData>
  <conditionalFormatting sqref="E3:H12">
    <cfRule type="cellIs" dxfId="1" priority="1" operator="equal">
      <formula>1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StoredFilesList xmlns:xsi="http://www.w3.org/2001/XMLSchema-instance" xmlns:xsd="http://www.w3.org/2001/XMLSchema" xmlns="http://opensolver.org" xml:space="preserve" Version="01.00">
  <StoredFiles>
    <StoredFile>
      <FileName>Untitled</FileName>
      <LanguageName>PuLP</LanguageName>
      <ModelPaneVisible>false</ModelPaneVisible>
      <ModelSettings/>
      <FileText>
</FileText>
      <ParentWorksheetName>*</ParentWorksheetName>
    </StoredFile>
    <StoredFile>
      <FileName>Untitled</FileName>
      <LanguageName>PuLP</LanguageName>
      <ModelPaneVisible>false</ModelPaneVisible>
      <ModelSettings/>
      <FileText/>
      <ParentWorksheetName>Scenario_05_Stochastic</ParentWorksheetName>
    </StoredFile>
    <StoredFile>
      <FileName>Untitled</FileName>
      <LanguageName>PuLP</LanguageName>
      <ModelPaneVisible>false</ModelPaneVisible>
      <ModelSettings/>
      <FileText/>
      <ParentWorksheetName>*</ParentWorksheetName>
    </StoredFile>
    <StoredFile>
      <FileName>Untitled</FileName>
      <LanguageName>PuLP</LanguageName>
      <ModelPaneVisible>false</ModelPaneVisible>
      <ModelSettings/>
      <FileText/>
      <ParentWorksheetName>*</ParentWorksheetName>
    </StoredFile>
    <StoredFile>
      <FileName>Untitled</FileName>
      <LanguageName>PuLP</LanguageName>
      <ModelPaneVisible>false</ModelPaneVisible>
      <ModelSettings/>
      <FileText/>
      <ParentWorksheetName>*</ParentWorksheetName>
    </StoredFile>
    <StoredFile>
      <FileName>Untitled</FileName>
      <LanguageName>PuLP</LanguageName>
      <ModelPaneVisible>false</ModelPaneVisible>
      <ModelSettings/>
      <FileText/>
      <ParentWorksheetName>IterationOutputs</ParentWorksheetName>
    </StoredFile>
    <StoredFile>
      <FileName>Untitled</FileName>
      <LanguageName>PuLP</LanguageName>
      <ModelPaneVisible>false</ModelPaneVisible>
      <ModelSettings/>
      <FileText/>
      <ParentWorksheetName>Pivot</ParentWorksheetName>
    </StoredFile>
    <StoredFile>
      <FileName>Untitled</FileName>
      <LanguageName>PuLP</LanguageName>
      <ModelPaneVisible>false</ModelPaneVisible>
      <ModelSettings/>
      <FileText/>
      <ParentWorksheetName>Scenario_04</ParentWorksheetName>
    </StoredFile>
    <StoredFile>
      <FileName>Untitled</FileName>
      <LanguageName>PuLP</LanguageName>
      <ModelPaneVisible>true</ModelPaneVisible>
      <ModelSettings/>
      <FileText># Import PuLP modeller functions
from pulp import *
# Create A Model
phasing = pulp.LpProblem("Maximise", pulp.LpMaximize)
Selection = pulp.LpVariable.dicts("Selection", NPV, cat='Binary')
# Set The Objective Function                                                                                                         
phasing += pulp.lpSum( Selection[proj] * NPV[proj] for proj in projects)
# Set The Constraints 
phasing += sum([Selection[proj] * CAPEXYr1[proj] for proj in projects]) &lt;= Yr1Constraint
phasing += sum([Selection[proj] * CAPEXYr2[proj] for proj in projects]) &lt;= Yr2Constraint
phasing += sum([Selection[proj] * CAPEXYr3[proj] for proj in projects]) &lt;= Yr3Constraint
phasing += Selection['Proj5'] + Selection['Proj10'] == 1 #Either Project 5 or 10 must be chosen
phasing += Selection['Proj4'] == Selection['Proj8'] #Both Projects 4 and 8 must go together
phasing += Selection['Proj9a'] + Selection['Proj9b'] == 1 #Either Project 9a or 9b must be chosen
phasing += Selection['Proj7'] &lt;= Selection['Proj2'] #Project 7 is optional choice as long as Project 2 is selected
phasing.solve()
print (pulp.LpStatus[phasing.status])
# Print our objective function value and Output Solution
print (pulp.value(phasing.objective))
#Print out results for all decision variables 
for proj in projects:
    print proj,'=',Selection[proj].varValue
Transfer results from SolverStudio to spreadsheet 
#for proj in projects:
#    output[proj]= Selection[proj].varValue</FileText>
      <ParentWorksheetName>Scenario_03</ParentWorksheetName>
    </StoredFile>
    <StoredFile>
      <FileName>Untitled</FileName>
      <LanguageName>PuLP</LanguageName>
      <ModelPaneVisible>false</ModelPaneVisible>
      <ModelSettings/>
      <FileText/>
      <ParentWorksheetName>Scenario_02</ParentWorksheetName>
    </StoredFile>
    <StoredFile>
      <FileName>Untitled</FileName>
      <LanguageName>PuLP</LanguageName>
      <ModelPaneVisible>false</ModelPaneVisible>
      <ModelSettings/>
      <FileText/>
      <ParentWorksheetName>Scenario_01</ParentWorksheetName>
    </StoredFile>
    <StoredFile>
      <FileName>Untitled</FileName>
      <LanguageName>PuLP</LanguageName>
      <ModelPaneVisible>false</ModelPaneVisible>
      <ModelSettings/>
      <FileText/>
      <ParentWorksheetName>Scenario_04_AsTabularList</ParentWorksheetName>
    </StoredFile>
    <StoredFile>
      <FileName>Untitled</FileName>
      <LanguageName>PuLP</LanguageName>
      <ModelPaneVisible>false</ModelPaneVisible>
      <ModelSettings/>
      <FileText/>
      <ParentWorksheetName>Summary</ParentWorksheetName>
    </StoredFile>
    <StoredFile>
      <FileName>Untitled</FileName>
      <LanguageName>PuLP</LanguageName>
      <ModelPaneVisible>false</ModelPaneVisible>
      <ModelSettings/>
      <FileText/>
      <ParentWorksheetName>Scenario_06b_Stochastic w FL AS</ParentWorksheetName>
    </StoredFile>
    <StoredFile>
      <FileName>Untitled</FileName>
      <LanguageName>PuLP</LanguageName>
      <ModelPaneVisible>false</ModelPaneVisible>
      <ModelSettings/>
      <FileText/>
      <ParentWorksheetName>Scenario_06a_Stochastic w FL_AS</ParentWorksheetName>
    </StoredFile>
    <StoredFile>
      <FileName>Untitled</FileName>
      <LanguageName>PuLP</LanguageName>
      <ModelPaneVisible>false</ModelPaneVisible>
      <ModelSettings/>
      <FileText/>
      <ParentWorksheetName>Simulation Report Sc6a</ParentWorksheetName>
    </StoredFile>
  </StoredFiles>
</StoredFilesList>
</file>

<file path=customXml/itemProps1.xml><?xml version="1.0" encoding="utf-8"?>
<ds:datastoreItem xmlns:ds="http://schemas.openxmlformats.org/officeDocument/2006/customXml" ds:itemID="{5BD97AB5-BDA8-44C9-A08C-18AD3E999BD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913581CC-6BA6-4A3F-AA31-DF1C5B33105E}">
  <ds:schemaRefs>
    <ds:schemaRef ds:uri="http://www.w3.org/2001/XMLSchema"/>
    <ds:schemaRef ds:uri="http://opensolver.org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</vt:i4>
      </vt:variant>
    </vt:vector>
  </HeadingPairs>
  <TitlesOfParts>
    <vt:vector size="22" baseType="lpstr">
      <vt:lpstr>Summary</vt:lpstr>
      <vt:lpstr>Scenario_01</vt:lpstr>
      <vt:lpstr>Scenario_02</vt:lpstr>
      <vt:lpstr>Scenario_03</vt:lpstr>
      <vt:lpstr>Scenario_04</vt:lpstr>
      <vt:lpstr>Scenario_04_AsTabularList</vt:lpstr>
      <vt:lpstr>Scenario_05_Stochastic</vt:lpstr>
      <vt:lpstr>IterationOutputs</vt:lpstr>
      <vt:lpstr>Pivot</vt:lpstr>
      <vt:lpstr>Scenario_06a_Stochastic w FL_AS</vt:lpstr>
      <vt:lpstr>Simulation Report Sc6a</vt:lpstr>
      <vt:lpstr>Scenario_06b_Stochastic w FL AS</vt:lpstr>
      <vt:lpstr>CAPEXYr1</vt:lpstr>
      <vt:lpstr>CAPEXYr2</vt:lpstr>
      <vt:lpstr>CAPEXYr3</vt:lpstr>
      <vt:lpstr>NPV</vt:lpstr>
      <vt:lpstr>output</vt:lpstr>
      <vt:lpstr>projects</vt:lpstr>
      <vt:lpstr>TotalNPV</vt:lpstr>
      <vt:lpstr>Yr1Constraint</vt:lpstr>
      <vt:lpstr>Yr2Constraint</vt:lpstr>
      <vt:lpstr>Yr3Constraint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EZ</cp:lastModifiedBy>
  <dcterms:created xsi:type="dcterms:W3CDTF">2015-06-05T18:17:20Z</dcterms:created>
  <dcterms:modified xsi:type="dcterms:W3CDTF">2020-09-04T11:27:54Z</dcterms:modified>
</cp:coreProperties>
</file>